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_rels/sheet2.xml.rels" ContentType="application/vnd.openxmlformats-package.relationships+xml"/>
  <Override PartName="/xl/worksheets/_rels/sheet3.xml.rels" ContentType="application/vnd.openxmlformats-package.relationship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drawings/drawing1.xml" ContentType="application/vnd.openxmlformats-officedocument.drawing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Xml/item1.xml" ContentType="application/xml"/>
  <Override PartName="/customXml/item2.xml" ContentType="application/xml"/>
  <Override PartName="/customXml/itemProps1.xml" ContentType="application/vnd.openxmlformats-officedocument.customXmlProperties+xml"/>
  <Override PartName="/customXml/item3.xml" ContentType="application/xml"/>
  <Override PartName="/customXml/itemProps2.xml" ContentType="application/vnd.openxmlformats-officedocument.customXmlProperties+xml"/>
  <Override PartName="/customXml/item4.xml" ContentType="application/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_rels/item1.xml.rels" ContentType="application/vnd.openxmlformats-package.relationships+xml"/>
  <Override PartName="/customXml/_rels/item2.xml.rels" ContentType="application/vnd.openxmlformats-package.relationships+xml"/>
  <Override PartName="/customXml/_rels/item3.xml.rels" ContentType="application/vnd.openxmlformats-package.relationships+xml"/>
  <Override PartName="/customXml/_rels/item4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openxmlformats.org/officeDocument/2006/relationships/customXml" Target="../customXml/item1.xml"/><Relationship Id="rId6" Type="http://schemas.openxmlformats.org/officeDocument/2006/relationships/customXml" Target="../customXml/item2.xml"/><Relationship Id="rId7" Type="http://schemas.openxmlformats.org/officeDocument/2006/relationships/customXml" Target="../customXml/item3.xml"/><Relationship Id="rId8" Type="http://schemas.openxmlformats.org/officeDocument/2006/relationships/customXml" Target="../customXml/item4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October" sheetId="1" state="visible" r:id="rId4"/>
    <sheet name="data" sheetId="2" state="visible" r:id="rId5"/>
    <sheet name="Automation" sheetId="3" state="visible" r:id="rId6"/>
  </sheets>
  <definedNames>
    <definedName function="false" hidden="true" name="_xleta.ISNUMBER" vbProcedure="false">#NAME?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<sst xmlns="http://schemas.openxmlformats.org/spreadsheetml/2006/main" count="93" uniqueCount="44">
  <si>
    <t xml:space="preserve">Total</t>
  </si>
  <si>
    <t xml:space="preserve">Actual Value</t>
  </si>
  <si>
    <t xml:space="preserve">Tue</t>
  </si>
  <si>
    <t xml:space="preserve">Wed</t>
  </si>
  <si>
    <t xml:space="preserve">Thu</t>
  </si>
  <si>
    <t xml:space="preserve">Fri</t>
  </si>
  <si>
    <t xml:space="preserve">Sat</t>
  </si>
  <si>
    <t xml:space="preserve">Sun</t>
  </si>
  <si>
    <t xml:space="preserve">Mon</t>
  </si>
  <si>
    <t xml:space="preserve">State01</t>
  </si>
  <si>
    <t xml:space="preserve">Beginning balance (Cash on Hand)</t>
  </si>
  <si>
    <t xml:space="preserve">Debit (In)</t>
  </si>
  <si>
    <t xml:space="preserve">Customers</t>
  </si>
  <si>
    <t xml:space="preserve">code01</t>
  </si>
  <si>
    <t xml:space="preserve">customer01</t>
  </si>
  <si>
    <t xml:space="preserve">code02</t>
  </si>
  <si>
    <t xml:space="preserve">customer02</t>
  </si>
  <si>
    <t xml:space="preserve">code03</t>
  </si>
  <si>
    <t xml:space="preserve">customer03</t>
  </si>
  <si>
    <t xml:space="preserve">code04</t>
  </si>
  <si>
    <t xml:space="preserve">Others</t>
  </si>
  <si>
    <t xml:space="preserve">code05</t>
  </si>
  <si>
    <t xml:space="preserve">Unit01</t>
  </si>
  <si>
    <t xml:space="preserve">code06</t>
  </si>
  <si>
    <t xml:space="preserve">Unit02</t>
  </si>
  <si>
    <t xml:space="preserve">code07</t>
  </si>
  <si>
    <t xml:space="preserve">Unit03</t>
  </si>
  <si>
    <t xml:space="preserve">Total Debit</t>
  </si>
  <si>
    <t xml:space="preserve">Credit (Out)</t>
  </si>
  <si>
    <t xml:space="preserve">Total Credit</t>
  </si>
  <si>
    <t xml:space="preserve">Net Cash Change</t>
  </si>
  <si>
    <t xml:space="preserve">Cumulative Balance</t>
  </si>
  <si>
    <t xml:space="preserve">Assignment</t>
  </si>
  <si>
    <t xml:space="preserve">Document Number</t>
  </si>
  <si>
    <t xml:space="preserve">Clearing date</t>
  </si>
  <si>
    <t xml:space="preserve">Amount in local currency</t>
  </si>
  <si>
    <t xml:space="preserve">Text</t>
  </si>
  <si>
    <t xml:space="preserve">Name 1</t>
  </si>
  <si>
    <t xml:space="preserve">Customer</t>
  </si>
  <si>
    <t xml:space="preserve">Name 2</t>
  </si>
  <si>
    <t xml:space="preserve">C300016</t>
  </si>
  <si>
    <t xml:space="preserve">text01</t>
  </si>
  <si>
    <t xml:space="preserve">text02 C300016</t>
  </si>
  <si>
    <t xml:space="preserve">Current FY Automation Tool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</si>
</sst>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yyyy\-mm\-dd"/>
    <numFmt numFmtId="166" formatCode="_(\$* #,##0.00_);_(\$* \(#,##0.00\);_(\$* \-??_);_(@_)"/>
    <numFmt numFmtId="167" formatCode="_(* #,##0.00_);_(* \(#,##0.00\);_(* \-??_);_(@_)"/>
    <numFmt numFmtId="168" formatCode="_(\$* #,##0_);_(\$* \(#,##0\);_(\$* \-??_);_(@_)"/>
    <numFmt numFmtId="169" formatCode="#,##0.00"/>
  </numFmts>
  <fonts count="26">
    <font>
      <sz val="11"/>
      <color theme="1"/>
      <name val="Calibri"/>
      <family val="2"/>
      <charset val="1"/>
    </font>
    <font>
      <sz val="10"/>
      <name val="Arial"/>
      <family val="0"/>
      <charset val="238"/>
    </font>
    <font>
      <sz val="10"/>
      <name val="Arial"/>
      <family val="0"/>
      <charset val="238"/>
    </font>
    <font>
      <sz val="10"/>
      <name val="Arial"/>
      <family val="0"/>
      <charset val="238"/>
    </font>
    <font>
      <sz val="10"/>
      <name val="Arial"/>
      <family val="2"/>
      <charset val="1"/>
    </font>
    <font>
      <sz val="10"/>
      <color rgb="FF000000"/>
      <name val="Arial"/>
      <family val="2"/>
      <charset val="1"/>
    </font>
    <font>
      <sz val="8"/>
      <color rgb="FF1F497D"/>
      <name val="Verdana"/>
      <family val="2"/>
      <charset val="1"/>
    </font>
    <font>
      <sz val="8"/>
      <color rgb="FFDBE5F1"/>
      <name val="Verdana"/>
      <family val="2"/>
      <charset val="1"/>
    </font>
    <font>
      <b val="true"/>
      <sz val="8"/>
      <color rgb="FF1F497D"/>
      <name val="Verdana"/>
      <family val="2"/>
      <charset val="1"/>
    </font>
    <font>
      <sz val="8"/>
      <color rgb="FF000000"/>
      <name val="Verdana"/>
      <family val="2"/>
      <charset val="1"/>
    </font>
    <font>
      <i val="true"/>
      <sz val="8"/>
      <color rgb="FF000000"/>
      <name val="Verdana"/>
      <family val="2"/>
      <charset val="1"/>
    </font>
    <font>
      <i val="true"/>
      <sz val="8"/>
      <color rgb="FF1F497D"/>
      <name val="Verdana"/>
      <family val="2"/>
      <charset val="1"/>
    </font>
    <font>
      <b val="true"/>
      <i val="true"/>
      <sz val="8"/>
      <color rgb="FF1F497D"/>
      <name val="Verdana"/>
      <family val="2"/>
      <charset val="1"/>
    </font>
    <font>
      <b val="true"/>
      <i val="true"/>
      <sz val="8"/>
      <color rgb="FF000000"/>
      <name val="Verdana"/>
      <family val="2"/>
      <charset val="1"/>
    </font>
    <font>
      <b val="true"/>
      <sz val="8"/>
      <color rgb="FF00CC00"/>
      <name val="Verdana"/>
      <family val="2"/>
      <charset val="1"/>
    </font>
    <font>
      <b val="true"/>
      <sz val="8"/>
      <color rgb="FF33CC33"/>
      <name val="Verdana"/>
      <family val="2"/>
      <charset val="1"/>
    </font>
    <font>
      <b val="true"/>
      <sz val="8"/>
      <color rgb="FFFF9900"/>
      <name val="Verdana"/>
      <family val="2"/>
      <charset val="1"/>
    </font>
    <font>
      <b val="true"/>
      <sz val="8"/>
      <color rgb="FFFF0000"/>
      <name val="Verdana"/>
      <family val="2"/>
      <charset val="1"/>
    </font>
    <font>
      <b val="true"/>
      <sz val="11"/>
      <color theme="1"/>
      <name val="Calibri"/>
      <family val="2"/>
      <charset val="1"/>
    </font>
    <font>
      <b val="true"/>
      <sz val="11"/>
      <color theme="0"/>
      <name val="Calibri"/>
      <family val="2"/>
      <charset val="1"/>
    </font>
    <font>
      <sz val="11"/>
      <color theme="0"/>
      <name val="Calibri"/>
      <family val="2"/>
      <charset val="1"/>
    </font>
    <font>
      <sz val="10"/>
      <name val="Arial"/>
      <family val="0"/>
      <charset val="1"/>
    </font>
    <font>
      <b val="true"/>
      <sz val="11"/>
      <color theme="0"/>
      <name val="Calibri"/>
      <family val="0"/>
      <charset val="238"/>
    </font>
    <font>
      <b val="true"/>
      <sz val="9"/>
      <color theme="0"/>
      <name val="Arial"/>
      <family val="2"/>
      <charset val="238"/>
    </font>
    <font>
      <sz val="9"/>
      <color theme="0"/>
      <name val="Arial"/>
      <family val="2"/>
      <charset val="238"/>
    </font>
    <font>
      <u val="single"/>
      <sz val="9"/>
      <color theme="0"/>
      <name val="Arial"/>
      <family val="2"/>
      <charset val="238"/>
    </font>
  </fonts>
  <fills count="30">
    <fill>
      <patternFill patternType="none"/>
    </fill>
    <fill>
      <patternFill patternType="gray125"/>
    </fill>
    <fill>
      <patternFill patternType="solid">
        <fgColor rgb="FFDBE5F1"/>
        <bgColor rgb="FFDBE5F2"/>
      </patternFill>
    </fill>
    <fill>
      <patternFill patternType="solid">
        <fgColor rgb="FFFFFFFF"/>
        <bgColor rgb="FFF1F5FB"/>
      </patternFill>
    </fill>
    <fill>
      <patternFill patternType="solid">
        <fgColor rgb="FFE9EFF7"/>
        <bgColor rgb="FFEDEDED"/>
      </patternFill>
    </fill>
    <fill>
      <patternFill patternType="solid">
        <fgColor rgb="FFF1F5FB"/>
        <bgColor rgb="FFE9EFF7"/>
      </patternFill>
    </fill>
    <fill>
      <patternFill patternType="solid">
        <fgColor rgb="FFC6F9C1"/>
        <bgColor rgb="FFC5E0B4"/>
      </patternFill>
    </fill>
    <fill>
      <patternFill patternType="solid">
        <fgColor rgb="FFABEDA5"/>
        <bgColor rgb="FFC5E0B4"/>
      </patternFill>
    </fill>
    <fill>
      <patternFill patternType="solid">
        <fgColor rgb="FF94D88F"/>
        <bgColor rgb="FFABEDA5"/>
      </patternFill>
    </fill>
    <fill>
      <patternFill patternType="solid">
        <fgColor rgb="FFFFFDBF"/>
        <bgColor rgb="FFFFF2CC"/>
      </patternFill>
    </fill>
    <fill>
      <patternFill patternType="solid">
        <fgColor rgb="FFFFFB8C"/>
        <bgColor rgb="FFFFFDBF"/>
      </patternFill>
    </fill>
    <fill>
      <patternFill patternType="solid">
        <fgColor rgb="FFFFF843"/>
        <bgColor rgb="FFFFFB8C"/>
      </patternFill>
    </fill>
    <fill>
      <patternFill patternType="solid">
        <fgColor rgb="FFFFC7CE"/>
        <bgColor rgb="FFDDDDDD"/>
      </patternFill>
    </fill>
    <fill>
      <patternFill patternType="solid">
        <fgColor rgb="FFFF988C"/>
        <bgColor rgb="FFFF6758"/>
      </patternFill>
    </fill>
    <fill>
      <patternFill patternType="solid">
        <fgColor rgb="FFFF6758"/>
        <bgColor rgb="FFFF988C"/>
      </patternFill>
    </fill>
    <fill>
      <patternFill patternType="solid">
        <fgColor rgb="FFB7CFE8"/>
        <bgColor rgb="FFBDD7EE"/>
      </patternFill>
    </fill>
    <fill>
      <patternFill patternType="solid">
        <fgColor rgb="FFC3D6EB"/>
        <bgColor rgb="FFBDD7EE"/>
      </patternFill>
    </fill>
    <fill>
      <patternFill patternType="solid">
        <fgColor rgb="FFDBE5F2"/>
        <bgColor rgb="FFDBE5F1"/>
      </patternFill>
    </fill>
    <fill>
      <patternFill patternType="solid">
        <fgColor theme="4" tint="-0.5"/>
        <bgColor rgb="FF333F50"/>
      </patternFill>
    </fill>
    <fill>
      <patternFill patternType="solid">
        <fgColor rgb="FF002060"/>
        <bgColor rgb="FF203864"/>
      </patternFill>
    </fill>
    <fill>
      <patternFill patternType="solid">
        <fgColor theme="6" tint="0.7999"/>
        <bgColor rgb="FFE9EFF7"/>
      </patternFill>
    </fill>
    <fill>
      <patternFill patternType="solid">
        <fgColor theme="8" tint="0.5999"/>
        <bgColor rgb="FFC3D6EB"/>
      </patternFill>
    </fill>
    <fill>
      <patternFill patternType="solid">
        <fgColor rgb="FF4D7A32"/>
        <bgColor rgb="FF808080"/>
      </patternFill>
    </fill>
    <fill>
      <patternFill patternType="solid">
        <fgColor theme="9" tint="0.5999"/>
        <bgColor rgb="FFD0CECE"/>
      </patternFill>
    </fill>
    <fill>
      <patternFill patternType="solid">
        <fgColor rgb="FF3399FF"/>
        <bgColor rgb="FF008080"/>
      </patternFill>
    </fill>
    <fill>
      <patternFill patternType="solid">
        <fgColor theme="4" tint="0.7999"/>
        <bgColor rgb="FFDBE5F2"/>
      </patternFill>
    </fill>
    <fill>
      <patternFill patternType="solid">
        <fgColor theme="4" tint="-0.25"/>
        <bgColor rgb="FF1F497D"/>
      </patternFill>
    </fill>
    <fill>
      <patternFill patternType="solid">
        <fgColor rgb="FFDDDDDD"/>
        <bgColor rgb="FFDAE3F3"/>
      </patternFill>
    </fill>
    <fill>
      <patternFill patternType="solid">
        <fgColor theme="2" tint="-0.1"/>
        <bgColor rgb="FFC3D6EB"/>
      </patternFill>
    </fill>
    <fill>
      <patternFill patternType="solid">
        <fgColor rgb="FFFFF2CC"/>
        <bgColor rgb="FFFFFDBF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>
        <color theme="3" tint="-0.25"/>
      </left>
      <right style="thin">
        <color theme="3" tint="-0.25"/>
      </right>
      <top style="thin">
        <color theme="3" tint="-0.25"/>
      </top>
      <bottom style="thin">
        <color theme="3" tint="-0.25"/>
      </bottom>
      <diagonal/>
    </border>
    <border diagonalUp="false" diagonalDown="false">
      <left style="thin">
        <color theme="3" tint="0.5999"/>
      </left>
      <right style="thin">
        <color theme="3" tint="0.5999"/>
      </right>
      <top style="thin">
        <color theme="3" tint="0.5999"/>
      </top>
      <bottom style="thin">
        <color theme="3" tint="0.5999"/>
      </bottom>
      <diagonal/>
    </border>
    <border diagonalUp="false" diagonalDown="false"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 diagonalUp="false" diagonalDown="false"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 diagonalUp="false" diagonalDown="false">
      <left/>
      <right style="thin">
        <color theme="0" tint="-0.5"/>
      </right>
      <top style="thin">
        <color theme="0" tint="-0.5"/>
      </top>
      <bottom style="thin">
        <color theme="0" tint="-0.5"/>
      </bottom>
      <diagonal/>
    </border>
    <border diagonalUp="false" diagonalDown="false">
      <left/>
      <right/>
      <top style="thin">
        <color theme="0" tint="-0.5"/>
      </top>
      <bottom style="thin">
        <color theme="0" tint="-0.5"/>
      </bottom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/>
      <bottom style="thin"/>
      <diagonal/>
    </border>
  </borders>
  <cellStyleXfs count="8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167" fontId="0" fillId="0" borderId="0" applyFont="true" applyBorder="false" applyAlignment="true" applyProtection="false">
      <alignment horizontal="general" vertical="bottom" textRotation="0" wrapText="false" indent="0" shrinkToFit="false"/>
    </xf>
    <xf numFmtId="41" fontId="1" fillId="0" borderId="0" applyFont="true" applyBorder="false" applyAlignment="false" applyProtection="false"/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false" applyAlignment="true" applyProtection="false">
      <alignment horizontal="general" vertical="bottom" textRotation="0" wrapText="false" indent="0" shrinkToFit="false"/>
    </xf>
    <xf numFmtId="164" fontId="5" fillId="0" borderId="0" applyFont="true" applyBorder="false" applyAlignment="true" applyProtection="false">
      <alignment horizontal="general" vertical="bottom" textRotation="0" wrapText="false" indent="0" shrinkToFit="false"/>
    </xf>
    <xf numFmtId="164" fontId="5" fillId="0" borderId="0" applyFont="true" applyBorder="false" applyAlignment="true" applyProtection="false">
      <alignment horizontal="general" vertical="bottom" textRotation="0" wrapText="false" indent="0" shrinkToFit="false"/>
    </xf>
    <xf numFmtId="164" fontId="5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false" applyAlignment="true" applyProtection="false">
      <alignment horizontal="general" vertical="bottom" textRotation="0" wrapText="false" indent="0" shrinkToFit="false"/>
    </xf>
    <xf numFmtId="164" fontId="5" fillId="0" borderId="0" applyFont="true" applyBorder="false" applyAlignment="true" applyProtection="false">
      <alignment horizontal="general" vertical="bottom" textRotation="0" wrapText="false" indent="0" shrinkToFit="false"/>
    </xf>
    <xf numFmtId="164" fontId="5" fillId="0" borderId="0" applyFont="true" applyBorder="false" applyAlignment="true" applyProtection="false">
      <alignment horizontal="general" vertical="bottom" textRotation="0" wrapText="false" indent="0" shrinkToFit="false"/>
    </xf>
    <xf numFmtId="164" fontId="5" fillId="0" borderId="0" applyFont="true" applyBorder="false" applyAlignment="true" applyProtection="false">
      <alignment horizontal="general" vertical="bottom" textRotation="0" wrapText="false" indent="0" shrinkToFit="false"/>
    </xf>
    <xf numFmtId="164" fontId="5" fillId="0" borderId="0" applyFont="true" applyBorder="false" applyAlignment="true" applyProtection="false">
      <alignment horizontal="general" vertical="bottom" textRotation="0" wrapText="false" indent="0" shrinkToFit="false"/>
    </xf>
    <xf numFmtId="164" fontId="5" fillId="0" borderId="0" applyFont="true" applyBorder="false" applyAlignment="true" applyProtection="false">
      <alignment horizontal="general" vertical="bottom" textRotation="0" wrapText="false" indent="0" shrinkToFit="false"/>
    </xf>
    <xf numFmtId="164" fontId="5" fillId="0" borderId="0" applyFont="true" applyBorder="false" applyAlignment="true" applyProtection="false">
      <alignment horizontal="general" vertical="bottom" textRotation="0" wrapText="false" indent="0" shrinkToFit="false"/>
    </xf>
    <xf numFmtId="164" fontId="5" fillId="0" borderId="0" applyFont="true" applyBorder="false" applyAlignment="true" applyProtection="false">
      <alignment horizontal="general" vertical="bottom" textRotation="0" wrapText="false" indent="0" shrinkToFit="false"/>
    </xf>
    <xf numFmtId="164" fontId="5" fillId="0" borderId="0" applyFont="true" applyBorder="false" applyAlignment="true" applyProtection="false">
      <alignment horizontal="general" vertical="bottom" textRotation="0" wrapText="false" indent="0" shrinkToFit="false"/>
    </xf>
    <xf numFmtId="164" fontId="5" fillId="0" borderId="0" applyFont="true" applyBorder="false" applyAlignment="true" applyProtection="false">
      <alignment horizontal="general" vertical="bottom" textRotation="0" wrapText="false" indent="0" shrinkToFit="false"/>
    </xf>
    <xf numFmtId="164" fontId="5" fillId="0" borderId="0" applyFont="true" applyBorder="false" applyAlignment="true" applyProtection="false">
      <alignment horizontal="general" vertical="bottom" textRotation="0" wrapText="false" indent="0" shrinkToFit="false"/>
    </xf>
    <xf numFmtId="164" fontId="5" fillId="0" borderId="0" applyFont="true" applyBorder="false" applyAlignment="true" applyProtection="false">
      <alignment horizontal="general" vertical="bottom" textRotation="0" wrapText="false" indent="0" shrinkToFit="false"/>
    </xf>
    <xf numFmtId="164" fontId="5" fillId="0" borderId="0" applyFont="true" applyBorder="false" applyAlignment="true" applyProtection="false">
      <alignment horizontal="general" vertical="bottom" textRotation="0" wrapText="false" indent="0" shrinkToFit="false"/>
    </xf>
    <xf numFmtId="164" fontId="5" fillId="0" borderId="0" applyFont="true" applyBorder="false" applyAlignment="true" applyProtection="false">
      <alignment horizontal="general" vertical="bottom" textRotation="0" wrapText="false" indent="0" shrinkToFit="false"/>
    </xf>
    <xf numFmtId="164" fontId="5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1" applyFont="true" applyBorder="true" applyAlignment="true" applyProtection="false">
      <alignment horizontal="general" vertical="bottom" textRotation="0" wrapText="false" indent="0" shrinkToFit="false"/>
    </xf>
    <xf numFmtId="164" fontId="6" fillId="0" borderId="2" applyFont="true" applyBorder="true" applyAlignment="true" applyProtection="false">
      <alignment horizontal="right" vertical="center" textRotation="0" wrapText="false" indent="0" shrinkToFit="false"/>
    </xf>
    <xf numFmtId="164" fontId="7" fillId="2" borderId="0" applyFont="true" applyBorder="true" applyAlignment="true" applyProtection="false">
      <alignment horizontal="general" vertical="bottom" textRotation="0" wrapText="false" indent="0" shrinkToFit="false"/>
    </xf>
    <xf numFmtId="164" fontId="8" fillId="0" borderId="3" applyFont="true" applyBorder="true" applyAlignment="true" applyProtection="false">
      <alignment horizontal="right" vertical="center" textRotation="0" wrapText="false" indent="0" shrinkToFit="false"/>
    </xf>
    <xf numFmtId="164" fontId="8" fillId="2" borderId="1" applyFont="true" applyBorder="true" applyAlignment="true" applyProtection="false">
      <alignment horizontal="general" vertical="bottom" textRotation="0" wrapText="false" indent="0" shrinkToFit="false"/>
    </xf>
    <xf numFmtId="164" fontId="9" fillId="3" borderId="3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3" borderId="3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10" fillId="0" borderId="0" applyFont="true" applyBorder="false" applyAlignment="true" applyProtection="false">
      <alignment horizontal="general" vertical="bottom" textRotation="0" wrapText="false" indent="0" shrinkToFit="false"/>
    </xf>
    <xf numFmtId="164" fontId="10" fillId="3" borderId="3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10" fillId="3" borderId="3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11" fillId="4" borderId="0" applyFont="true" applyBorder="false" applyAlignment="true" applyProtection="true">
      <alignment horizontal="right" vertical="center" textRotation="0" wrapText="false" indent="0" shrinkToFit="false"/>
      <protection locked="false" hidden="false"/>
    </xf>
    <xf numFmtId="164" fontId="12" fillId="4" borderId="0" applyFont="true" applyBorder="false" applyAlignment="true" applyProtection="true">
      <alignment horizontal="right" vertical="center" textRotation="0" wrapText="false" indent="0" shrinkToFit="false"/>
      <protection locked="false" hidden="false"/>
    </xf>
    <xf numFmtId="164" fontId="10" fillId="5" borderId="3" applyFont="true" applyBorder="true" applyAlignment="true" applyProtection="false">
      <alignment horizontal="general" vertical="bottom" textRotation="0" wrapText="false" indent="0" shrinkToFit="false"/>
    </xf>
    <xf numFmtId="164" fontId="12" fillId="5" borderId="3" applyFont="true" applyBorder="true" applyAlignment="true" applyProtection="false">
      <alignment horizontal="right" vertical="center" textRotation="0" wrapText="false" indent="0" shrinkToFit="false"/>
    </xf>
    <xf numFmtId="164" fontId="13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4" applyFont="true" applyBorder="true" applyAlignment="true" applyProtection="false">
      <alignment horizontal="general" vertical="bottom" textRotation="0" wrapText="false" indent="0" shrinkToFit="false"/>
    </xf>
    <xf numFmtId="164" fontId="14" fillId="6" borderId="0" applyFont="true" applyBorder="false" applyAlignment="true" applyProtection="false">
      <alignment horizontal="general" vertical="bottom" textRotation="0" wrapText="false" indent="0" shrinkToFit="false"/>
    </xf>
    <xf numFmtId="164" fontId="15" fillId="7" borderId="0" applyFont="true" applyBorder="false" applyAlignment="true" applyProtection="false">
      <alignment horizontal="general" vertical="bottom" textRotation="0" wrapText="false" indent="0" shrinkToFit="false"/>
    </xf>
    <xf numFmtId="164" fontId="15" fillId="8" borderId="0" applyFont="true" applyBorder="false" applyAlignment="true" applyProtection="false">
      <alignment horizontal="general" vertical="bottom" textRotation="0" wrapText="false" indent="0" shrinkToFit="false"/>
    </xf>
    <xf numFmtId="164" fontId="16" fillId="9" borderId="0" applyFont="true" applyBorder="false" applyAlignment="true" applyProtection="false">
      <alignment horizontal="general" vertical="bottom" textRotation="0" wrapText="false" indent="0" shrinkToFit="false"/>
    </xf>
    <xf numFmtId="164" fontId="16" fillId="10" borderId="0" applyFont="true" applyBorder="false" applyAlignment="true" applyProtection="false">
      <alignment horizontal="general" vertical="bottom" textRotation="0" wrapText="false" indent="0" shrinkToFit="false"/>
    </xf>
    <xf numFmtId="164" fontId="16" fillId="11" borderId="0" applyFont="true" applyBorder="false" applyAlignment="true" applyProtection="false">
      <alignment horizontal="general" vertical="bottom" textRotation="0" wrapText="false" indent="0" shrinkToFit="false"/>
    </xf>
    <xf numFmtId="164" fontId="17" fillId="12" borderId="0" applyFont="true" applyBorder="false" applyAlignment="true" applyProtection="false">
      <alignment horizontal="general" vertical="bottom" textRotation="0" wrapText="false" indent="0" shrinkToFit="false"/>
    </xf>
    <xf numFmtId="164" fontId="17" fillId="13" borderId="0" applyFont="true" applyBorder="false" applyAlignment="true" applyProtection="false">
      <alignment horizontal="general" vertical="bottom" textRotation="0" wrapText="false" indent="0" shrinkToFit="false"/>
    </xf>
    <xf numFmtId="164" fontId="17" fillId="14" borderId="0" applyFont="true" applyBorder="false" applyAlignment="true" applyProtection="false">
      <alignment horizontal="general" vertical="bottom" textRotation="0" wrapText="false" indent="0" shrinkToFit="false"/>
    </xf>
    <xf numFmtId="164" fontId="6" fillId="0" borderId="0" applyFont="true" applyBorder="false" applyAlignment="true" applyProtection="false">
      <alignment horizontal="general" vertical="bottom" textRotation="0" wrapText="false" indent="0" shrinkToFit="false"/>
    </xf>
    <xf numFmtId="164" fontId="6" fillId="2" borderId="1" applyFont="true" applyBorder="true" applyAlignment="true" applyProtection="false">
      <alignment horizontal="general" vertical="bottom" textRotation="0" wrapText="false" indent="0" shrinkToFit="false"/>
    </xf>
    <xf numFmtId="164" fontId="9" fillId="15" borderId="1" applyFont="true" applyBorder="true" applyAlignment="true" applyProtection="false">
      <alignment horizontal="general" vertical="bottom" textRotation="0" wrapText="false" indent="0" shrinkToFit="false"/>
    </xf>
    <xf numFmtId="164" fontId="9" fillId="16" borderId="1" applyFont="true" applyBorder="true" applyAlignment="true" applyProtection="false">
      <alignment horizontal="general" vertical="bottom" textRotation="0" wrapText="false" indent="0" shrinkToFit="false"/>
    </xf>
    <xf numFmtId="164" fontId="9" fillId="17" borderId="1" applyFont="true" applyBorder="true" applyAlignment="true" applyProtection="false">
      <alignment horizontal="general" vertical="bottom" textRotation="0" wrapText="false" indent="0" shrinkToFit="false"/>
    </xf>
    <xf numFmtId="164" fontId="9" fillId="4" borderId="1" applyFont="true" applyBorder="true" applyAlignment="true" applyProtection="false">
      <alignment horizontal="general" vertical="bottom" textRotation="0" wrapText="false" indent="0" shrinkToFit="false"/>
    </xf>
    <xf numFmtId="164" fontId="9" fillId="5" borderId="3" applyFont="true" applyBorder="true" applyAlignment="true" applyProtection="false">
      <alignment horizontal="general" vertical="bottom" textRotation="0" wrapText="false" indent="0" shrinkToFit="false"/>
    </xf>
    <xf numFmtId="164" fontId="6" fillId="4" borderId="0" applyFont="true" applyBorder="false" applyAlignment="true" applyProtection="true">
      <alignment horizontal="right" vertical="center" textRotation="0" wrapText="false" indent="0" shrinkToFit="false"/>
      <protection locked="false" hidden="false"/>
    </xf>
    <xf numFmtId="164" fontId="8" fillId="4" borderId="0" applyFont="true" applyBorder="false" applyAlignment="true" applyProtection="true">
      <alignment horizontal="right" vertical="center" textRotation="0" wrapText="false" indent="0" shrinkToFit="false"/>
      <protection locked="false" hidden="false"/>
    </xf>
    <xf numFmtId="164" fontId="6" fillId="2" borderId="1" applyFont="true" applyBorder="true" applyAlignment="true" applyProtection="false">
      <alignment horizontal="general" vertical="bottom" textRotation="0" wrapText="false" indent="0" shrinkToFit="false"/>
    </xf>
    <xf numFmtId="164" fontId="8" fillId="2" borderId="3" applyFont="true" applyBorder="true" applyAlignment="true" applyProtection="false">
      <alignment horizontal="general" vertical="bottom" textRotation="0" wrapText="false" indent="0" shrinkToFit="false"/>
    </xf>
    <xf numFmtId="164" fontId="6" fillId="0" borderId="0" applyFont="true" applyBorder="false" applyAlignment="true" applyProtection="false">
      <alignment horizontal="general" vertical="bottom" textRotation="0" wrapText="false" indent="0" shrinkToFit="false"/>
    </xf>
    <xf numFmtId="164" fontId="9" fillId="5" borderId="3" applyFont="true" applyBorder="true" applyAlignment="true" applyProtection="false">
      <alignment horizontal="general" vertical="bottom" textRotation="0" wrapText="false" indent="0" shrinkToFit="false"/>
    </xf>
    <xf numFmtId="164" fontId="8" fillId="5" borderId="3" applyFont="true" applyBorder="true" applyAlignment="true" applyProtection="false">
      <alignment horizontal="right" vertical="center" textRotation="0" wrapText="false" indent="0" shrinkToFit="false"/>
    </xf>
  </cellStyleXfs>
  <cellXfs count="5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8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9" fillId="18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8" fillId="0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18" fillId="0" borderId="3" xfId="17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8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9" fillId="19" borderId="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0" fillId="19" borderId="3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8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18" fillId="0" borderId="3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18" fillId="20" borderId="3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true" applyProtection="false">
      <alignment horizontal="left" vertical="bottom" textRotation="0" wrapText="false" indent="3" shrinkToFit="false"/>
      <protection locked="true" hidden="false"/>
    </xf>
    <xf numFmtId="166" fontId="0" fillId="0" borderId="3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0" borderId="3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8" fillId="21" borderId="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6" fontId="18" fillId="21" borderId="3" xfId="17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7" fontId="18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1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1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9" fillId="22" borderId="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0" fillId="22" borderId="3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7" fontId="20" fillId="22" borderId="3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8" fillId="23" borderId="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6" fontId="18" fillId="23" borderId="3" xfId="17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18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9" fillId="24" borderId="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6" fontId="18" fillId="25" borderId="3" xfId="17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9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18" fillId="0" borderId="6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9" fillId="26" borderId="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27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7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27" borderId="7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8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8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28" borderId="8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1" fillId="28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9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2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9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9" fontId="0" fillId="29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8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10" xfId="20"/>
    <cellStyle name="Normal 11" xfId="21"/>
    <cellStyle name="Normal 12" xfId="22"/>
    <cellStyle name="Normal 13" xfId="23"/>
    <cellStyle name="Normal 14" xfId="24"/>
    <cellStyle name="Normal 15" xfId="25"/>
    <cellStyle name="Normal 16" xfId="26"/>
    <cellStyle name="Normal 17" xfId="27"/>
    <cellStyle name="Normal 18" xfId="28"/>
    <cellStyle name="Normal 19" xfId="29"/>
    <cellStyle name="Normal 2" xfId="30"/>
    <cellStyle name="Normal 20" xfId="31"/>
    <cellStyle name="Normal 21" xfId="32"/>
    <cellStyle name="Normal 22" xfId="33"/>
    <cellStyle name="Normal 23" xfId="34"/>
    <cellStyle name="Normal 3" xfId="35"/>
    <cellStyle name="Normal 4" xfId="36"/>
    <cellStyle name="Normal 5" xfId="37"/>
    <cellStyle name="Normal 6" xfId="38"/>
    <cellStyle name="Normal 7" xfId="39"/>
    <cellStyle name="Normal 8" xfId="40"/>
    <cellStyle name="Normal 9" xfId="41"/>
    <cellStyle name="SAPBorder" xfId="42"/>
    <cellStyle name="SAPDataCell" xfId="43"/>
    <cellStyle name="SAPDataRemoved" xfId="44"/>
    <cellStyle name="SAPDataTotalCell" xfId="45"/>
    <cellStyle name="SAPDimensionCell" xfId="46"/>
    <cellStyle name="SAPEditableDataCell" xfId="47"/>
    <cellStyle name="SAPEditableDataTotalCell" xfId="48"/>
    <cellStyle name="SAPEmphasized" xfId="49"/>
    <cellStyle name="SAPEmphasizedEditableDataCell" xfId="50"/>
    <cellStyle name="SAPEmphasizedEditableDataTotalCell" xfId="51"/>
    <cellStyle name="SAPEmphasizedLockedDataCell" xfId="52"/>
    <cellStyle name="SAPEmphasizedLockedDataTotalCell" xfId="53"/>
    <cellStyle name="SAPEmphasizedReadonlyDataCell" xfId="54"/>
    <cellStyle name="SAPEmphasizedReadonlyDataTotalCell" xfId="55"/>
    <cellStyle name="SAPEmphasizedTotal" xfId="56"/>
    <cellStyle name="SAPError" xfId="57"/>
    <cellStyle name="SAPExceptionLevel1" xfId="58"/>
    <cellStyle name="SAPExceptionLevel2" xfId="59"/>
    <cellStyle name="SAPExceptionLevel3" xfId="60"/>
    <cellStyle name="SAPExceptionLevel4" xfId="61"/>
    <cellStyle name="SAPExceptionLevel5" xfId="62"/>
    <cellStyle name="SAPExceptionLevel6" xfId="63"/>
    <cellStyle name="SAPExceptionLevel7" xfId="64"/>
    <cellStyle name="SAPExceptionLevel8" xfId="65"/>
    <cellStyle name="SAPExceptionLevel9" xfId="66"/>
    <cellStyle name="SAPFormula" xfId="67"/>
    <cellStyle name="SAPGroupingFillCell" xfId="68"/>
    <cellStyle name="SAPHierarchyCell0" xfId="69"/>
    <cellStyle name="SAPHierarchyCell1" xfId="70"/>
    <cellStyle name="SAPHierarchyCell2" xfId="71"/>
    <cellStyle name="SAPHierarchyCell3" xfId="72"/>
    <cellStyle name="SAPHierarchyCell4" xfId="73"/>
    <cellStyle name="SAPLockedDataCell" xfId="74"/>
    <cellStyle name="SAPLockedDataTotalCell" xfId="75"/>
    <cellStyle name="SAPMemberCell" xfId="76"/>
    <cellStyle name="SAPMemberTotalCell" xfId="77"/>
    <cellStyle name="SAPMessageText" xfId="78"/>
    <cellStyle name="SAPReadonlyDataCell" xfId="79"/>
    <cellStyle name="SAPReadonlyDataTotalCell" xfId="80"/>
  </cellStyles>
  <dxfs count="9">
    <dxf>
      <fill>
        <patternFill patternType="solid">
          <fgColor rgb="FFDDDDDD"/>
          <bgColor rgb="FF000000"/>
        </patternFill>
      </fill>
    </dxf>
    <dxf>
      <fill>
        <patternFill patternType="solid">
          <fgColor rgb="FFFFC000"/>
          <bgColor rgb="FF000000"/>
        </patternFill>
      </fill>
    </dxf>
    <dxf>
      <fill>
        <patternFill patternType="solid">
          <fgColor rgb="FFFFF2CC"/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D0CECE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colors>
    <indexedColors>
      <rgbColor rgb="FF000000"/>
      <rgbColor rgb="FFFFFFFF"/>
      <rgbColor rgb="FFFF0000"/>
      <rgbColor rgb="FF00CC00"/>
      <rgbColor rgb="FF0000FF"/>
      <rgbColor rgb="FFFFF843"/>
      <rgbColor rgb="FFFF00FF"/>
      <rgbColor rgb="FFABEDA5"/>
      <rgbColor rgb="FF800000"/>
      <rgbColor rgb="FF008000"/>
      <rgbColor rgb="FF000080"/>
      <rgbColor rgb="FFDBE5F1"/>
      <rgbColor rgb="FF800080"/>
      <rgbColor rgb="FF008080"/>
      <rgbColor rgb="FFADB9CA"/>
      <rgbColor rgb="FF808080"/>
      <rgbColor rgb="FFBDD7EE"/>
      <rgbColor rgb="FFEDEDED"/>
      <rgbColor rgb="FFFFFDBF"/>
      <rgbColor rgb="FFE9EFF7"/>
      <rgbColor rgb="FF660066"/>
      <rgbColor rgb="FFFF988C"/>
      <rgbColor rgb="FF1F497D"/>
      <rgbColor rgb="FFC3D6EB"/>
      <rgbColor rgb="FF000080"/>
      <rgbColor rgb="FFFF00FF"/>
      <rgbColor rgb="FFFFF2CC"/>
      <rgbColor rgb="FFDBE5F2"/>
      <rgbColor rgb="FF800080"/>
      <rgbColor rgb="FF800000"/>
      <rgbColor rgb="FF008080"/>
      <rgbColor rgb="FF0000FF"/>
      <rgbColor rgb="FFDAE3F3"/>
      <rgbColor rgb="FFF1F5FB"/>
      <rgbColor rgb="FFC6F9C1"/>
      <rgbColor rgb="FFFFFB8C"/>
      <rgbColor rgb="FFB7CFE8"/>
      <rgbColor rgb="FFDDDDDD"/>
      <rgbColor rgb="FFD0CECE"/>
      <rgbColor rgb="FFFFC7CE"/>
      <rgbColor rgb="FF3399FF"/>
      <rgbColor rgb="FF33CC33"/>
      <rgbColor rgb="FF94D88F"/>
      <rgbColor rgb="FFFFC000"/>
      <rgbColor rgb="FFFF9900"/>
      <rgbColor rgb="FFFF6758"/>
      <rgbColor rgb="FF2F5597"/>
      <rgbColor rgb="FFC5E0B4"/>
      <rgbColor rgb="FF002060"/>
      <rgbColor rgb="FF4D7A32"/>
      <rgbColor rgb="FF003300"/>
      <rgbColor rgb="FF333300"/>
      <rgbColor rgb="FF993300"/>
      <rgbColor rgb="FF993366"/>
      <rgbColor rgb="FF203864"/>
      <rgbColor rgb="FF333F50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8" Type="http://schemas.openxmlformats.org/officeDocument/2006/relationships/customXml" Target="../customXml/item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0</xdr:col>
      <xdr:colOff>121680</xdr:colOff>
      <xdr:row>4</xdr:row>
      <xdr:rowOff>69840</xdr:rowOff>
    </xdr:from>
    <xdr:to>
      <xdr:col>3</xdr:col>
      <xdr:colOff>121320</xdr:colOff>
      <xdr:row>7</xdr:row>
      <xdr:rowOff>177480</xdr:rowOff>
    </xdr:to>
    <xdr:sp macro="[0]!Master.Master">
      <xdr:nvSpPr>
        <xdr:cNvPr id="0" name="Rectangle: Rounded Corners 1"/>
        <xdr:cNvSpPr/>
      </xdr:nvSpPr>
      <xdr:spPr>
        <a:xfrm>
          <a:off x="121680" y="793800"/>
          <a:ext cx="1364760" cy="650520"/>
        </a:xfrm>
        <a:prstGeom prst="roundRect">
          <a:avLst>
            <a:gd name="adj" fmla="val 16667"/>
          </a:avLst>
        </a:prstGeom>
        <a:solidFill>
          <a:srgbClr val="00a0f5"/>
        </a:solidFill>
        <a:ln w="12700">
          <a:solidFill>
            <a:srgbClr val="1d3155"/>
          </a:solidFill>
          <a:miter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horzOverflow="clip" vertOverflow="clip" lIns="90000" rIns="90000" tIns="45000" bIns="45000" anchor="ctr">
          <a:noAutofit/>
        </a:bodyPr>
        <a:p>
          <a:pPr algn="ctr">
            <a:lnSpc>
              <a:spcPct val="100000"/>
            </a:lnSpc>
          </a:pPr>
          <a:r>
            <a:rPr b="1" lang="pl-PL" sz="1100" strike="noStrike" u="none">
              <a:solidFill>
                <a:schemeClr val="lt1"/>
              </a:solidFill>
              <a:effectLst/>
              <a:uFillTx/>
              <a:latin typeface="Calibri"/>
            </a:rPr>
            <a:t>Run Automation</a:t>
          </a:r>
          <a:endParaRPr b="0" lang="pl-PL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3</xdr:col>
      <xdr:colOff>501480</xdr:colOff>
      <xdr:row>2</xdr:row>
      <xdr:rowOff>162360</xdr:rowOff>
    </xdr:from>
    <xdr:to>
      <xdr:col>13</xdr:col>
      <xdr:colOff>255960</xdr:colOff>
      <xdr:row>27</xdr:row>
      <xdr:rowOff>66600</xdr:rowOff>
    </xdr:to>
    <xdr:sp>
      <xdr:nvSpPr>
        <xdr:cNvPr id="1" name="Rectangle: Rounded Corners 3"/>
        <xdr:cNvSpPr/>
      </xdr:nvSpPr>
      <xdr:spPr>
        <a:xfrm>
          <a:off x="1866600" y="524160"/>
          <a:ext cx="5907600" cy="4428720"/>
        </a:xfrm>
        <a:prstGeom prst="roundRect">
          <a:avLst>
            <a:gd name="adj" fmla="val 16667"/>
          </a:avLst>
        </a:prstGeom>
        <a:solidFill>
          <a:srgbClr val="4b5564"/>
        </a:solidFill>
        <a:ln w="12700">
          <a:solidFill>
            <a:srgbClr val="1d3155"/>
          </a:solidFill>
          <a:miter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horzOverflow="clip" vertOverflow="clip" lIns="90000" rIns="90000" tIns="45000" bIns="45000" anchor="t">
          <a:noAutofit/>
        </a:bodyPr>
        <a:p>
          <a:pPr algn="ctr">
            <a:lnSpc>
              <a:spcPct val="100000"/>
            </a:lnSpc>
          </a:pPr>
          <a:r>
            <a:rPr b="1" lang="pl-PL" sz="900" strike="noStrike" u="none">
              <a:solidFill>
                <a:schemeClr val="lt1"/>
              </a:solidFill>
              <a:effectLst/>
              <a:uFillTx/>
              <a:latin typeface="Arial"/>
            </a:rPr>
            <a:t>Instructions for Running the Tool:</a:t>
          </a:r>
          <a:br/>
          <a:endParaRPr b="0" lang="pl-PL" sz="900" strike="noStrike" u="none">
            <a:effectLst/>
            <a:uFillTx/>
            <a:latin typeface="Times New Roman"/>
          </a:endParaRPr>
        </a:p>
        <a:p>
          <a:pPr defTabSz="914400">
            <a:lnSpc>
              <a:spcPct val="100000"/>
            </a:lnSpc>
            <a:tabLst>
              <a:tab algn="l" pos="0"/>
            </a:tabLst>
          </a:pPr>
          <a:br/>
          <a:r>
            <a:rPr b="0" lang="pl-PL" sz="900" strike="noStrike" u="none">
              <a:solidFill>
                <a:schemeClr val="lt1"/>
              </a:solidFill>
              <a:effectLst/>
              <a:uFillTx/>
              <a:latin typeface="Arial"/>
            </a:rPr>
            <a:t>This is an automation tool created to automate the collection and formatting of data in a file. The tool is launched by clicking the "Run Automation" button. </a:t>
          </a:r>
          <a:endParaRPr b="0" lang="pl-PL" sz="900" strike="noStrike" u="none">
            <a:effectLst/>
            <a:uFillTx/>
            <a:latin typeface="Times New Roman"/>
          </a:endParaRPr>
        </a:p>
        <a:p>
          <a:pPr defTabSz="914400">
            <a:lnSpc>
              <a:spcPct val="100000"/>
            </a:lnSpc>
            <a:tabLst>
              <a:tab algn="l" pos="0"/>
            </a:tabLst>
          </a:pPr>
          <a:endParaRPr b="0" lang="pl-PL" sz="900" strike="noStrike" u="none">
            <a:effectLst/>
            <a:uFillTx/>
            <a:latin typeface="Times New Roman"/>
          </a:endParaRPr>
        </a:p>
        <a:p>
          <a:pPr defTabSz="914400">
            <a:lnSpc>
              <a:spcPct val="100000"/>
            </a:lnSpc>
            <a:tabLst>
              <a:tab algn="l" pos="0"/>
            </a:tabLst>
          </a:pPr>
          <a:r>
            <a:rPr b="0" lang="pl-PL" sz="900" strike="noStrike" u="none">
              <a:solidFill>
                <a:schemeClr val="lt1"/>
              </a:solidFill>
              <a:effectLst/>
              <a:uFillTx/>
              <a:latin typeface="Arial"/>
            </a:rPr>
            <a:t>The tool creates a connection with SAP, then downloads the data for the current fiscal year and pastes it into the "data" tab as follows:</a:t>
          </a:r>
          <a:endParaRPr b="0" lang="pl-PL" sz="900" strike="noStrike" u="none">
            <a:effectLst/>
            <a:uFillTx/>
            <a:latin typeface="Times New Roman"/>
          </a:endParaRPr>
        </a:p>
        <a:p>
          <a:pPr defTabSz="914400">
            <a:lnSpc>
              <a:spcPct val="100000"/>
            </a:lnSpc>
            <a:tabLst>
              <a:tab algn="l" pos="0"/>
            </a:tabLst>
          </a:pPr>
          <a:br/>
          <a:r>
            <a:rPr b="1" lang="pl-PL" sz="900" strike="noStrike" u="none">
              <a:solidFill>
                <a:schemeClr val="lt1"/>
              </a:solidFill>
              <a:effectLst/>
              <a:uFillTx/>
              <a:latin typeface="Arial"/>
            </a:rPr>
            <a:t>1. FS10N (cash out GL) </a:t>
          </a:r>
          <a:r>
            <a:rPr b="0" lang="pl-PL" sz="900" strike="noStrike" u="none">
              <a:solidFill>
                <a:schemeClr val="lt1"/>
              </a:solidFill>
              <a:effectLst/>
              <a:uFillTx/>
              <a:latin typeface="Arial"/>
            </a:rPr>
            <a:t>− the data is pasted starting at cell L2. A light yellow background is added to the range rows, and a formula categorizing the row is dragged into column R.</a:t>
          </a:r>
          <a:endParaRPr b="0" lang="pl-PL" sz="900" strike="noStrike" u="none">
            <a:effectLst/>
            <a:uFillTx/>
            <a:latin typeface="Times New Roman"/>
          </a:endParaRPr>
        </a:p>
        <a:p>
          <a:pPr defTabSz="914400">
            <a:lnSpc>
              <a:spcPct val="100000"/>
            </a:lnSpc>
            <a:tabLst>
              <a:tab algn="l" pos="0"/>
            </a:tabLst>
          </a:pPr>
          <a:endParaRPr b="0" lang="pl-PL" sz="900" strike="noStrike" u="none">
            <a:effectLst/>
            <a:uFillTx/>
            <a:latin typeface="Times New Roman"/>
          </a:endParaRPr>
        </a:p>
        <a:p>
          <a:pPr defTabSz="914400">
            <a:lnSpc>
              <a:spcPct val="100000"/>
            </a:lnSpc>
            <a:tabLst>
              <a:tab algn="l" pos="0"/>
            </a:tabLst>
          </a:pPr>
          <a:r>
            <a:rPr b="1" lang="pl-PL" sz="900" strike="noStrike" u="none">
              <a:solidFill>
                <a:schemeClr val="lt1"/>
              </a:solidFill>
              <a:effectLst/>
              <a:uFillTx/>
              <a:latin typeface="Arial"/>
            </a:rPr>
            <a:t>2. S_ALR_87012103 (cash out vendor) </a:t>
          </a:r>
          <a:r>
            <a:rPr b="0" lang="pl-PL" sz="900" strike="noStrike" u="none">
              <a:solidFill>
                <a:schemeClr val="lt1"/>
              </a:solidFill>
              <a:effectLst/>
              <a:uFillTx/>
              <a:latin typeface="Arial"/>
            </a:rPr>
            <a:t>− the data is pasted starting at cell L2.  starting at first white cell in column L. A formula categorizing the row is dragged into column R.</a:t>
          </a:r>
          <a:endParaRPr b="0" lang="pl-PL" sz="900" strike="noStrike" u="none">
            <a:effectLst/>
            <a:uFillTx/>
            <a:latin typeface="Times New Roman"/>
          </a:endParaRPr>
        </a:p>
        <a:p>
          <a:pPr defTabSz="914400">
            <a:lnSpc>
              <a:spcPct val="100000"/>
            </a:lnSpc>
            <a:tabLst>
              <a:tab algn="l" pos="0"/>
            </a:tabLst>
          </a:pPr>
          <a:endParaRPr b="0" lang="pl-PL" sz="900" strike="noStrike" u="none">
            <a:effectLst/>
            <a:uFillTx/>
            <a:latin typeface="Times New Roman"/>
          </a:endParaRPr>
        </a:p>
        <a:p>
          <a:pPr defTabSz="914400">
            <a:lnSpc>
              <a:spcPct val="100000"/>
            </a:lnSpc>
            <a:tabLst>
              <a:tab algn="l" pos="0"/>
            </a:tabLst>
          </a:pPr>
          <a:r>
            <a:rPr b="1" lang="pl-PL" sz="900" strike="noStrike" u="none">
              <a:solidFill>
                <a:schemeClr val="lt1"/>
              </a:solidFill>
              <a:effectLst/>
              <a:uFillTx/>
              <a:latin typeface="Arial"/>
            </a:rPr>
            <a:t>3. FS10N (cash in GL) </a:t>
          </a:r>
          <a:r>
            <a:rPr b="0" lang="pl-PL" sz="900" strike="noStrike" u="none">
              <a:solidFill>
                <a:schemeClr val="lt1"/>
              </a:solidFill>
              <a:effectLst/>
              <a:uFillTx/>
              <a:latin typeface="Arial"/>
            </a:rPr>
            <a:t>− the data is pasted starting at cell D2. A light yellow background is added to the range rows, and a formula categorizing the row is dragged into column J.</a:t>
          </a:r>
          <a:endParaRPr b="0" lang="pl-PL" sz="900" strike="noStrike" u="none">
            <a:effectLst/>
            <a:uFillTx/>
            <a:latin typeface="Times New Roman"/>
          </a:endParaRPr>
        </a:p>
        <a:p>
          <a:pPr defTabSz="914400">
            <a:lnSpc>
              <a:spcPct val="100000"/>
            </a:lnSpc>
            <a:tabLst>
              <a:tab algn="l" pos="0"/>
            </a:tabLst>
          </a:pPr>
          <a:endParaRPr b="0" lang="pl-PL" sz="900" strike="noStrike" u="none">
            <a:effectLst/>
            <a:uFillTx/>
            <a:latin typeface="Times New Roman"/>
          </a:endParaRPr>
        </a:p>
        <a:p>
          <a:pPr defTabSz="914400">
            <a:lnSpc>
              <a:spcPct val="100000"/>
            </a:lnSpc>
            <a:tabLst>
              <a:tab algn="l" pos="0"/>
            </a:tabLst>
          </a:pPr>
          <a:r>
            <a:rPr b="1" lang="pl-PL" sz="900" strike="noStrike" u="none">
              <a:solidFill>
                <a:schemeClr val="lt1"/>
              </a:solidFill>
              <a:effectLst/>
              <a:uFillTx/>
              <a:latin typeface="Arial"/>
            </a:rPr>
            <a:t>4. S_ALR_87012197 (cash in customer)</a:t>
          </a:r>
          <a:r>
            <a:rPr b="0" lang="pl-PL" sz="900" strike="noStrike" u="none">
              <a:solidFill>
                <a:schemeClr val="lt1"/>
              </a:solidFill>
              <a:effectLst/>
              <a:uFillTx/>
              <a:latin typeface="Arial"/>
            </a:rPr>
            <a:t> − the data is pasted starting at first white cell in column D. </a:t>
          </a:r>
          <a:br/>
          <a:r>
            <a:rPr b="0" lang="pl-PL" sz="900" strike="noStrike" u="none">
              <a:solidFill>
                <a:schemeClr val="lt1"/>
              </a:solidFill>
              <a:effectLst/>
              <a:uFillTx/>
              <a:latin typeface="Arial"/>
            </a:rPr>
            <a:t>A formula categorizing the row is dragged into column J.</a:t>
          </a:r>
          <a:endParaRPr b="0" lang="pl-PL" sz="900" strike="noStrike" u="none">
            <a:effectLst/>
            <a:uFillTx/>
            <a:latin typeface="Times New Roman"/>
          </a:endParaRPr>
        </a:p>
        <a:p>
          <a:pPr defTabSz="914400">
            <a:lnSpc>
              <a:spcPct val="100000"/>
            </a:lnSpc>
            <a:tabLst>
              <a:tab algn="l" pos="0"/>
            </a:tabLst>
          </a:pPr>
          <a:endParaRPr b="0" lang="pl-PL" sz="900" strike="noStrike" u="none">
            <a:effectLst/>
            <a:uFillTx/>
            <a:latin typeface="Times New Roman"/>
          </a:endParaRPr>
        </a:p>
        <a:p>
          <a:pPr defTabSz="914400">
            <a:lnSpc>
              <a:spcPct val="100000"/>
            </a:lnSpc>
            <a:tabLst>
              <a:tab algn="l" pos="0"/>
            </a:tabLst>
          </a:pPr>
          <a:r>
            <a:rPr b="0" lang="pl-PL" sz="900" strike="noStrike" u="sng">
              <a:solidFill>
                <a:schemeClr val="lt1"/>
              </a:solidFill>
              <a:effectLst/>
              <a:uFillTx/>
              <a:latin typeface="Arial"/>
            </a:rPr>
            <a:t>Additional information:</a:t>
          </a:r>
          <a:endParaRPr b="0" lang="pl-PL" sz="900" strike="noStrike" u="none">
            <a:effectLst/>
            <a:uFillTx/>
            <a:latin typeface="Times New Roman"/>
          </a:endParaRPr>
        </a:p>
        <a:p>
          <a:pPr defTabSz="914400">
            <a:lnSpc>
              <a:spcPct val="100000"/>
            </a:lnSpc>
            <a:tabLst>
              <a:tab algn="l" pos="0"/>
            </a:tabLst>
          </a:pPr>
          <a:r>
            <a:rPr b="0" lang="pl-PL" sz="900" strike="noStrike" u="none">
              <a:solidFill>
                <a:schemeClr val="lt1"/>
              </a:solidFill>
              <a:effectLst/>
              <a:uFillTx/>
              <a:latin typeface="Arial"/>
            </a:rPr>
            <a:t>- before running the tool, please make sure that you are logged into SAP (view: easy access)</a:t>
          </a:r>
          <a:endParaRPr b="0" lang="pl-PL" sz="900" strike="noStrike" u="none">
            <a:effectLst/>
            <a:uFillTx/>
            <a:latin typeface="Times New Roman"/>
          </a:endParaRPr>
        </a:p>
        <a:p>
          <a:pPr defTabSz="914400">
            <a:lnSpc>
              <a:spcPct val="100000"/>
            </a:lnSpc>
            <a:tabLst>
              <a:tab algn="l" pos="0"/>
            </a:tabLst>
          </a:pPr>
          <a:r>
            <a:rPr b="0" lang="pl-PL" sz="900" strike="noStrike" u="none">
              <a:solidFill>
                <a:schemeClr val="lt1"/>
              </a:solidFill>
              <a:effectLst/>
              <a:uFillTx/>
              <a:latin typeface="Arial"/>
            </a:rPr>
            <a:t>- before running the tool, please make sure that all of the "export.html" files are closed</a:t>
          </a:r>
          <a:endParaRPr b="0" lang="pl-PL" sz="900" strike="noStrike" u="none">
            <a:effectLst/>
            <a:uFillTx/>
            <a:latin typeface="Times New Roman"/>
          </a:endParaRPr>
        </a:p>
        <a:p>
          <a:pPr defTabSz="914400">
            <a:lnSpc>
              <a:spcPct val="100000"/>
            </a:lnSpc>
            <a:tabLst>
              <a:tab algn="l" pos="0"/>
            </a:tabLst>
          </a:pPr>
          <a:r>
            <a:rPr b="0" lang="pl-PL" sz="900" strike="noStrike" u="none">
              <a:solidFill>
                <a:schemeClr val="lt1"/>
              </a:solidFill>
              <a:effectLst/>
              <a:uFillTx/>
              <a:latin typeface="Arial"/>
            </a:rPr>
            <a:t>- before running the tool, please make sure that the option "Show native Microsoft Windows dialogs" is deactivated</a:t>
          </a:r>
          <a:endParaRPr b="0" lang="pl-PL" sz="900" strike="noStrike" u="none">
            <a:effectLst/>
            <a:uFillTx/>
            <a:latin typeface="Times New Roman"/>
          </a:endParaRPr>
        </a:p>
        <a:p>
          <a:pPr defTabSz="914400">
            <a:lnSpc>
              <a:spcPct val="100000"/>
            </a:lnSpc>
            <a:tabLst>
              <a:tab algn="l" pos="0"/>
            </a:tabLst>
          </a:pPr>
          <a:r>
            <a:rPr b="0" lang="pl-PL" sz="900" strike="noStrike" u="none">
              <a:solidFill>
                <a:schemeClr val="lt1"/>
              </a:solidFill>
              <a:effectLst/>
              <a:uFillTx/>
              <a:latin typeface="Arial"/>
            </a:rPr>
            <a:t>- columns D and L are highlighted in orange when columns D, H, L and P contain the string "C300"</a:t>
          </a:r>
          <a:endParaRPr b="0" lang="pl-PL" sz="900" strike="noStrike" u="none">
            <a:effectLst/>
            <a:uFillTx/>
            <a:latin typeface="Times New Roman"/>
          </a:endParaRPr>
        </a:p>
        <a:p>
          <a:pPr defTabSz="914400">
            <a:lnSpc>
              <a:spcPct val="100000"/>
            </a:lnSpc>
            <a:tabLst>
              <a:tab algn="l" pos="0"/>
            </a:tabLst>
          </a:pPr>
          <a:r>
            <a:rPr b="0" lang="pl-PL" sz="900" strike="noStrike" u="none">
              <a:solidFill>
                <a:schemeClr val="lt1"/>
              </a:solidFill>
              <a:effectLst/>
              <a:uFillTx/>
              <a:latin typeface="Arial"/>
            </a:rPr>
            <a:t>- in the "data" tab, please maintain the layout: table headers should remain unchanged, and cells J2 and R2 should contain the target formulas</a:t>
          </a:r>
          <a:endParaRPr b="0" lang="pl-PL" sz="900" strike="noStrike" u="none">
            <a:effectLst/>
            <a:uFillTx/>
            <a:latin typeface="Times New Roman"/>
          </a:endParaRPr>
        </a:p>
        <a:p>
          <a:pPr defTabSz="914400">
            <a:lnSpc>
              <a:spcPct val="100000"/>
            </a:lnSpc>
            <a:tabLst>
              <a:tab algn="l" pos="0"/>
            </a:tabLst>
          </a:pPr>
          <a:endParaRPr b="0" lang="pl-PL" sz="900" strike="noStrike" u="none">
            <a:effectLst/>
            <a:uFillTx/>
            <a:latin typeface="Times New Roman"/>
          </a:endParaRPr>
        </a:p>
        <a:p>
          <a:pPr defTabSz="914400">
            <a:lnSpc>
              <a:spcPct val="100000"/>
            </a:lnSpc>
            <a:tabLst>
              <a:tab algn="l" pos="0"/>
            </a:tabLst>
          </a:pPr>
          <a:endParaRPr b="0" lang="pl-PL" sz="900" strike="noStrike" u="none">
            <a:effectLst/>
            <a:uFillTx/>
            <a:latin typeface="Times New Roman"/>
          </a:endParaRPr>
        </a:p>
        <a:p>
          <a:pPr defTabSz="914400">
            <a:lnSpc>
              <a:spcPct val="100000"/>
            </a:lnSpc>
            <a:tabLst>
              <a:tab algn="l" pos="0"/>
            </a:tabLst>
          </a:pPr>
          <a:endParaRPr b="0" lang="pl-PL" sz="900" strike="noStrike" u="none">
            <a:effectLst/>
            <a:uFillTx/>
            <a:latin typeface="Times New Roman"/>
          </a:endParaRPr>
        </a:p>
        <a:p>
          <a:pPr defTabSz="914400">
            <a:lnSpc>
              <a:spcPct val="100000"/>
            </a:lnSpc>
            <a:tabLst>
              <a:tab algn="l" pos="0"/>
            </a:tabLst>
          </a:pPr>
          <a:endParaRPr b="0" lang="pl-PL" sz="900" strike="noStrike" u="none">
            <a:effectLst/>
            <a:uFillTx/>
            <a:latin typeface="Times New Roman"/>
          </a:endParaRPr>
        </a:p>
        <a:p>
          <a:pPr defTabSz="914400">
            <a:lnSpc>
              <a:spcPct val="100000"/>
            </a:lnSpc>
            <a:tabLst>
              <a:tab algn="l" pos="0"/>
            </a:tabLst>
          </a:pPr>
          <a:endParaRPr b="0" lang="pl-PL" sz="900" strike="noStrike" u="none">
            <a:effectLst/>
            <a:uFillTx/>
            <a:latin typeface="Times New Roman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D1:J5" headerRowCount="1" totalsRowCount="0" totalsRowShown="0">
  <autoFilter ref="D1:J5"/>
  <tableColumns count="7">
    <tableColumn id="1" name="Assignment"/>
    <tableColumn id="2" name="Document Number"/>
    <tableColumn id="3" name="Clearing date"/>
    <tableColumn id="4" name="Amount in local currency"/>
    <tableColumn id="5" name="Text"/>
    <tableColumn id="6" name="Name 1"/>
    <tableColumn id="7" name="Customer"/>
  </tableColumns>
</table>
</file>

<file path=xl/tables/table2.xml><?xml version="1.0" encoding="utf-8"?>
<table xmlns="http://schemas.openxmlformats.org/spreadsheetml/2006/main" id="2" name="Table2" displayName="Table2" ref="L1:R5" headerRowCount="1" totalsRowCount="0" totalsRowShown="0">
  <autoFilter ref="L1:R5"/>
  <tableColumns count="7">
    <tableColumn id="1" name="Assignment"/>
    <tableColumn id="2" name="Document Number"/>
    <tableColumn id="3" name="Clearing date"/>
    <tableColumn id="4" name="Amount in local currency"/>
    <tableColumn id="5" name="Text"/>
    <tableColumn id="6" name="Name 1"/>
    <tableColumn id="7" name="Name 2"/>
  </tableColumns>
</table>
</file>

<file path=xl/theme/theme1.xml><?xml version="1.0" encoding="utf-8"?>
<a:theme xmlns:a="http://schemas.openxmlformats.org/drawingml/2006/main" xmlns:r="http://schemas.openxmlformats.org/officeDocument/2006/relationships" name="Office 2013 - 2022 Theme">
  <a:themeElements>
    <a:clrScheme name="Office 2013 - 2022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2.xml.rels><?xml version="1.0" encoding="UTF-8"?>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AL33"/>
  <sheetViews>
    <sheetView showFormulas="false" showGridLines="false" showRowColHeaders="true" showZeros="true" rightToLeft="false" tabSelected="false" showOutlineSymbols="true" defaultGridColor="true" view="normal" topLeftCell="A1" colorId="64" zoomScale="95" zoomScaleNormal="95" zoomScalePageLayoutView="100" workbookViewId="0">
      <pane xSplit="3" ySplit="3" topLeftCell="D4" activePane="bottomRight" state="frozen"/>
      <selection pane="topLeft" activeCell="A1" activeCellId="0" sqref="A1"/>
      <selection pane="topRight" activeCell="D1" activeCellId="0" sqref="D1"/>
      <selection pane="bottomLeft" activeCell="A4" activeCellId="0" sqref="A4"/>
      <selection pane="bottomRight" activeCell="AK31" activeCellId="0" sqref="AK31"/>
    </sheetView>
  </sheetViews>
  <sheetFormatPr defaultColWidth="8.54296875" defaultRowHeight="14.25" customHeight="true" zeroHeight="false" outlineLevelRow="0" outlineLevelCol="0"/>
  <cols>
    <col collapsed="false" customWidth="true" hidden="false" outlineLevel="0" max="2" min="2" style="0" width="10.45"/>
    <col collapsed="false" customWidth="true" hidden="false" outlineLevel="0" max="3" min="3" style="1" width="30.54"/>
    <col collapsed="false" customWidth="true" hidden="false" outlineLevel="0" max="33" min="4" style="0" width="15.82"/>
    <col collapsed="false" customWidth="true" hidden="false" outlineLevel="0" max="34" min="34" style="0" width="16.27"/>
    <col collapsed="false" customWidth="true" hidden="false" outlineLevel="0" max="35" min="35" style="0" width="17"/>
    <col collapsed="false" customWidth="true" hidden="false" outlineLevel="0" max="36" min="36" style="0" width="10.73"/>
    <col collapsed="false" customWidth="true" hidden="false" outlineLevel="0" max="38" min="37" style="0" width="17"/>
  </cols>
  <sheetData>
    <row r="2" customFormat="false" ht="14.25" hidden="false" customHeight="false" outlineLevel="0" collapsed="false">
      <c r="D2" s="2" t="n">
        <v>45566</v>
      </c>
      <c r="E2" s="2" t="n">
        <v>45567</v>
      </c>
      <c r="F2" s="2" t="n">
        <v>45568</v>
      </c>
      <c r="G2" s="2" t="n">
        <v>45569</v>
      </c>
      <c r="H2" s="2" t="n">
        <v>45570</v>
      </c>
      <c r="I2" s="2" t="n">
        <v>45571</v>
      </c>
      <c r="J2" s="2" t="n">
        <v>45572</v>
      </c>
      <c r="K2" s="2" t="n">
        <v>45573</v>
      </c>
      <c r="L2" s="2" t="n">
        <v>45574</v>
      </c>
      <c r="M2" s="2" t="n">
        <v>45575</v>
      </c>
      <c r="N2" s="2" t="n">
        <v>45576</v>
      </c>
      <c r="O2" s="2" t="n">
        <v>45577</v>
      </c>
      <c r="P2" s="2" t="n">
        <v>45578</v>
      </c>
      <c r="Q2" s="2" t="n">
        <v>45579</v>
      </c>
      <c r="R2" s="2" t="n">
        <v>45580</v>
      </c>
      <c r="S2" s="2" t="n">
        <v>45581</v>
      </c>
      <c r="T2" s="2" t="n">
        <v>45582</v>
      </c>
      <c r="U2" s="2" t="n">
        <v>45583</v>
      </c>
      <c r="V2" s="2" t="n">
        <v>45584</v>
      </c>
      <c r="W2" s="2" t="n">
        <v>45585</v>
      </c>
      <c r="X2" s="2" t="n">
        <v>45586</v>
      </c>
      <c r="Y2" s="2" t="n">
        <v>45587</v>
      </c>
      <c r="Z2" s="2" t="n">
        <v>45588</v>
      </c>
      <c r="AA2" s="2" t="n">
        <v>45589</v>
      </c>
      <c r="AB2" s="2" t="n">
        <v>45590</v>
      </c>
      <c r="AC2" s="2" t="n">
        <v>45591</v>
      </c>
      <c r="AD2" s="2" t="n">
        <v>45592</v>
      </c>
      <c r="AE2" s="2" t="n">
        <v>45593</v>
      </c>
      <c r="AF2" s="2" t="n">
        <v>45594</v>
      </c>
      <c r="AG2" s="2" t="n">
        <v>45595</v>
      </c>
      <c r="AH2" s="2" t="n">
        <v>45596</v>
      </c>
      <c r="AI2" s="3" t="s">
        <v>0</v>
      </c>
      <c r="AK2" s="3" t="s">
        <v>1</v>
      </c>
    </row>
    <row r="3" customFormat="false" ht="14.25" hidden="false" customHeight="false" outlineLevel="0" collapsed="false">
      <c r="D3" s="4" t="s">
        <v>2</v>
      </c>
      <c r="E3" s="4" t="s">
        <v>3</v>
      </c>
      <c r="F3" s="4" t="s">
        <v>4</v>
      </c>
      <c r="G3" s="4" t="s">
        <v>5</v>
      </c>
      <c r="H3" s="4" t="s">
        <v>6</v>
      </c>
      <c r="I3" s="4" t="s">
        <v>7</v>
      </c>
      <c r="J3" s="4" t="s">
        <v>8</v>
      </c>
      <c r="K3" s="4" t="s">
        <v>2</v>
      </c>
      <c r="L3" s="4" t="s">
        <v>3</v>
      </c>
      <c r="M3" s="4" t="s">
        <v>4</v>
      </c>
      <c r="N3" s="4" t="s">
        <v>5</v>
      </c>
      <c r="O3" s="4" t="s">
        <v>6</v>
      </c>
      <c r="P3" s="4" t="s">
        <v>7</v>
      </c>
      <c r="Q3" s="4" t="s">
        <v>8</v>
      </c>
      <c r="R3" s="4" t="s">
        <v>2</v>
      </c>
      <c r="S3" s="4" t="s">
        <v>3</v>
      </c>
      <c r="T3" s="4" t="s">
        <v>4</v>
      </c>
      <c r="U3" s="4" t="s">
        <v>5</v>
      </c>
      <c r="V3" s="4" t="s">
        <v>6</v>
      </c>
      <c r="W3" s="4" t="s">
        <v>7</v>
      </c>
      <c r="X3" s="4" t="s">
        <v>8</v>
      </c>
      <c r="Y3" s="4" t="s">
        <v>2</v>
      </c>
      <c r="Z3" s="4" t="s">
        <v>3</v>
      </c>
      <c r="AA3" s="4" t="s">
        <v>4</v>
      </c>
      <c r="AB3" s="4" t="s">
        <v>5</v>
      </c>
      <c r="AC3" s="4" t="s">
        <v>6</v>
      </c>
      <c r="AD3" s="4" t="s">
        <v>7</v>
      </c>
      <c r="AE3" s="4" t="s">
        <v>8</v>
      </c>
      <c r="AF3" s="4" t="s">
        <v>2</v>
      </c>
      <c r="AG3" s="4" t="s">
        <v>3</v>
      </c>
      <c r="AH3" s="4" t="s">
        <v>4</v>
      </c>
      <c r="AI3" s="3"/>
      <c r="AK3" s="3"/>
    </row>
    <row r="4" customFormat="false" ht="14.25" hidden="false" customHeight="false" outlineLevel="0" collapsed="false">
      <c r="AI4" s="5"/>
      <c r="AK4" s="5"/>
    </row>
    <row r="5" s="6" customFormat="true" ht="30" hidden="false" customHeight="true" outlineLevel="0" collapsed="false">
      <c r="B5" s="7" t="s">
        <v>9</v>
      </c>
      <c r="C5" s="8" t="s">
        <v>10</v>
      </c>
      <c r="D5" s="9"/>
      <c r="E5" s="9" t="n">
        <f aca="false">D32</f>
        <v>0</v>
      </c>
      <c r="F5" s="9" t="n">
        <f aca="false">E32</f>
        <v>0</v>
      </c>
      <c r="G5" s="9" t="n">
        <f aca="false">F32</f>
        <v>0</v>
      </c>
      <c r="H5" s="9" t="n">
        <f aca="false">G32</f>
        <v>0</v>
      </c>
      <c r="I5" s="9" t="n">
        <f aca="false">H32</f>
        <v>0</v>
      </c>
      <c r="J5" s="9" t="n">
        <f aca="false">I32</f>
        <v>0</v>
      </c>
      <c r="K5" s="9" t="n">
        <f aca="false">J32</f>
        <v>0</v>
      </c>
      <c r="L5" s="9" t="n">
        <f aca="false">K32</f>
        <v>0</v>
      </c>
      <c r="M5" s="9" t="n">
        <f aca="false">L32</f>
        <v>0</v>
      </c>
      <c r="N5" s="9" t="n">
        <f aca="false">M32</f>
        <v>0</v>
      </c>
      <c r="O5" s="9" t="n">
        <f aca="false">N32</f>
        <v>0</v>
      </c>
      <c r="P5" s="9" t="n">
        <f aca="false">O32</f>
        <v>0</v>
      </c>
      <c r="Q5" s="9" t="n">
        <f aca="false">P32</f>
        <v>0</v>
      </c>
      <c r="R5" s="9" t="n">
        <f aca="false">Q32</f>
        <v>0</v>
      </c>
      <c r="S5" s="9" t="n">
        <f aca="false">R32</f>
        <v>0</v>
      </c>
      <c r="T5" s="9" t="n">
        <f aca="false">S32</f>
        <v>0</v>
      </c>
      <c r="U5" s="9" t="n">
        <f aca="false">T32</f>
        <v>0</v>
      </c>
      <c r="V5" s="9" t="n">
        <f aca="false">U32</f>
        <v>0</v>
      </c>
      <c r="W5" s="9" t="n">
        <f aca="false">V32</f>
        <v>0</v>
      </c>
      <c r="X5" s="9" t="n">
        <f aca="false">W32</f>
        <v>0</v>
      </c>
      <c r="Y5" s="9" t="n">
        <f aca="false">X32</f>
        <v>0</v>
      </c>
      <c r="Z5" s="9" t="n">
        <f aca="false">Y32</f>
        <v>0</v>
      </c>
      <c r="AA5" s="9" t="n">
        <f aca="false">Z32</f>
        <v>0</v>
      </c>
      <c r="AB5" s="9" t="n">
        <f aca="false">AA32</f>
        <v>0</v>
      </c>
      <c r="AC5" s="9" t="n">
        <f aca="false">AB32</f>
        <v>0</v>
      </c>
      <c r="AD5" s="9" t="n">
        <f aca="false">AC32</f>
        <v>0</v>
      </c>
      <c r="AE5" s="9" t="n">
        <f aca="false">AD32</f>
        <v>0</v>
      </c>
      <c r="AF5" s="9" t="n">
        <f aca="false">AE32</f>
        <v>0</v>
      </c>
      <c r="AG5" s="9" t="n">
        <f aca="false">AF32</f>
        <v>0</v>
      </c>
      <c r="AH5" s="9" t="n">
        <f aca="false">AG32</f>
        <v>0</v>
      </c>
      <c r="AI5" s="10"/>
      <c r="AK5" s="10"/>
    </row>
    <row r="6" customFormat="false" ht="14.25" hidden="false" customHeight="true" outlineLevel="0" collapsed="false">
      <c r="B6" s="7"/>
      <c r="AI6" s="5"/>
      <c r="AK6" s="5"/>
    </row>
    <row r="7" customFormat="false" ht="14.25" hidden="false" customHeight="true" outlineLevel="0" collapsed="false">
      <c r="A7" s="11"/>
      <c r="B7" s="7"/>
      <c r="C7" s="12" t="s">
        <v>11</v>
      </c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1"/>
      <c r="AK7" s="13"/>
      <c r="AL7" s="11"/>
    </row>
    <row r="8" customFormat="false" ht="14.25" hidden="false" customHeight="false" outlineLevel="0" collapsed="false">
      <c r="B8" s="7"/>
      <c r="C8" s="14" t="s">
        <v>12</v>
      </c>
      <c r="D8" s="15" t="n">
        <f aca="false">SUM(D9:D12)</f>
        <v>0</v>
      </c>
      <c r="E8" s="16" t="n">
        <f aca="false">SUM(E9:E12)</f>
        <v>0</v>
      </c>
      <c r="F8" s="15" t="n">
        <f aca="false">SUM(F9:F12)</f>
        <v>0</v>
      </c>
      <c r="G8" s="16" t="n">
        <f aca="false">SUM(G9:G12)</f>
        <v>0</v>
      </c>
      <c r="H8" s="15" t="n">
        <f aca="false">SUM(H9:H12)</f>
        <v>0</v>
      </c>
      <c r="I8" s="16" t="n">
        <f aca="false">SUM(I9:I12)</f>
        <v>0</v>
      </c>
      <c r="J8" s="15" t="n">
        <f aca="false">SUM(J9:J12)</f>
        <v>0</v>
      </c>
      <c r="K8" s="16" t="n">
        <f aca="false">SUM(K9:K12)</f>
        <v>0</v>
      </c>
      <c r="L8" s="15" t="n">
        <f aca="false">SUM(L9:L12)</f>
        <v>0</v>
      </c>
      <c r="M8" s="16" t="n">
        <f aca="false">SUM(M9:M12)</f>
        <v>0</v>
      </c>
      <c r="N8" s="15" t="n">
        <f aca="false">SUM(N9:N12)</f>
        <v>0</v>
      </c>
      <c r="O8" s="16" t="n">
        <f aca="false">SUM(O9:O12)</f>
        <v>0</v>
      </c>
      <c r="P8" s="15" t="n">
        <f aca="false">SUM(P9:P12)</f>
        <v>0</v>
      </c>
      <c r="Q8" s="16" t="n">
        <f aca="false">SUM(Q9:Q12)</f>
        <v>0</v>
      </c>
      <c r="R8" s="15" t="n">
        <f aca="false">SUM(R9:R12)</f>
        <v>0</v>
      </c>
      <c r="S8" s="16" t="n">
        <f aca="false">SUM(S9:S12)</f>
        <v>0</v>
      </c>
      <c r="T8" s="15" t="n">
        <f aca="false">SUM(T9:T12)</f>
        <v>0</v>
      </c>
      <c r="U8" s="16" t="n">
        <f aca="false">SUM(U9:U12)</f>
        <v>0</v>
      </c>
      <c r="V8" s="15" t="n">
        <f aca="false">SUM(V9:V12)</f>
        <v>0</v>
      </c>
      <c r="W8" s="16" t="n">
        <f aca="false">SUM(W9:W12)</f>
        <v>0</v>
      </c>
      <c r="X8" s="15" t="n">
        <f aca="false">SUM(X9:X12)</f>
        <v>0</v>
      </c>
      <c r="Y8" s="16" t="n">
        <f aca="false">SUM(Y9:Y12)</f>
        <v>0</v>
      </c>
      <c r="Z8" s="15" t="n">
        <f aca="false">SUM(Z9:Z12)</f>
        <v>0</v>
      </c>
      <c r="AA8" s="16" t="n">
        <f aca="false">SUM(AA9:AA12)</f>
        <v>0</v>
      </c>
      <c r="AB8" s="15" t="n">
        <f aca="false">SUM(AB9:AB12)</f>
        <v>0</v>
      </c>
      <c r="AC8" s="16" t="n">
        <f aca="false">SUM(AC9:AC12)</f>
        <v>0</v>
      </c>
      <c r="AD8" s="15" t="n">
        <f aca="false">SUM(AD9:AD12)</f>
        <v>0</v>
      </c>
      <c r="AE8" s="16" t="n">
        <f aca="false">SUM(AE9:AE12)</f>
        <v>0</v>
      </c>
      <c r="AF8" s="15" t="n">
        <f aca="false">SUM(AF9:AF12)</f>
        <v>0</v>
      </c>
      <c r="AG8" s="16" t="n">
        <f aca="false">SUM(AG9:AG12)</f>
        <v>0</v>
      </c>
      <c r="AH8" s="15" t="n">
        <f aca="false">SUM(AH9:AH12)</f>
        <v>0</v>
      </c>
      <c r="AI8" s="15" t="n">
        <f aca="false">SUM(D8:AH8)</f>
        <v>0</v>
      </c>
      <c r="AK8" s="15"/>
    </row>
    <row r="9" customFormat="false" ht="14.25" hidden="false" customHeight="false" outlineLevel="0" collapsed="false">
      <c r="A9" s="0" t="s">
        <v>13</v>
      </c>
      <c r="B9" s="7"/>
      <c r="C9" s="17" t="s">
        <v>14</v>
      </c>
      <c r="D9" s="18" t="n">
        <f aca="false">IFERROR(SUMIFS(data!$G:$G,data!$D:$D,$A9,data!$F:$F,D$2),0)</f>
        <v>0</v>
      </c>
      <c r="E9" s="19" t="n">
        <f aca="false">IFERROR(SUMIFS(data!$G:$G,data!$D:$D,$A9,data!$F:$F,E$2),0)</f>
        <v>0</v>
      </c>
      <c r="F9" s="18" t="n">
        <f aca="false">IFERROR(SUMIFS(data!$G:$G,data!$D:$D,$A9,data!$F:$F,F$2),0)</f>
        <v>0</v>
      </c>
      <c r="G9" s="19" t="n">
        <f aca="false">IFERROR(SUMIFS(data!$G:$G,data!$D:$D,$A9,data!$F:$F,G$2),0)</f>
        <v>0</v>
      </c>
      <c r="H9" s="18" t="n">
        <f aca="false">IFERROR(SUMIFS(data!$G:$G,data!$D:$D,$A9,data!$F:$F,H$2),0)</f>
        <v>0</v>
      </c>
      <c r="I9" s="19" t="n">
        <f aca="false">IFERROR(SUMIFS(data!$G:$G,data!$D:$D,$A9,data!$F:$F,I$2),0)</f>
        <v>0</v>
      </c>
      <c r="J9" s="18" t="n">
        <f aca="false">IFERROR(SUMIFS(data!$G:$G,data!$D:$D,$A9,data!$F:$F,J$2),0)</f>
        <v>0</v>
      </c>
      <c r="K9" s="19" t="n">
        <f aca="false">IFERROR(SUMIFS(data!$G:$G,data!$D:$D,$A9,data!$F:$F,K$2),0)</f>
        <v>0</v>
      </c>
      <c r="L9" s="18" t="n">
        <f aca="false">IFERROR(SUMIFS(data!$G:$G,data!$D:$D,$A9,data!$F:$F,L$2),0)</f>
        <v>0</v>
      </c>
      <c r="M9" s="19" t="n">
        <f aca="false">IFERROR(SUMIFS(data!$G:$G,data!$D:$D,$A9,data!$F:$F,M$2),0)</f>
        <v>0</v>
      </c>
      <c r="N9" s="18" t="n">
        <f aca="false">IFERROR(SUMIFS(data!$G:$G,data!$D:$D,$A9,data!$F:$F,N$2),0)</f>
        <v>0</v>
      </c>
      <c r="O9" s="19" t="n">
        <f aca="false">IFERROR(SUMIFS(data!$G:$G,data!$D:$D,$A9,data!$F:$F,O$2),0)</f>
        <v>0</v>
      </c>
      <c r="P9" s="18" t="n">
        <f aca="false">IFERROR(SUMIFS(data!$G:$G,data!$D:$D,$A9,data!$F:$F,P$2),0)</f>
        <v>0</v>
      </c>
      <c r="Q9" s="19" t="n">
        <f aca="false">IFERROR(SUMIFS(data!$G:$G,data!$D:$D,$A9,data!$F:$F,Q$2),0)</f>
        <v>0</v>
      </c>
      <c r="R9" s="18" t="n">
        <f aca="false">IFERROR(SUMIFS(data!$G:$G,data!$D:$D,$A9,data!$F:$F,R$2),0)</f>
        <v>0</v>
      </c>
      <c r="S9" s="19" t="n">
        <f aca="false">IFERROR(SUMIFS(data!$G:$G,data!$D:$D,$A9,data!$F:$F,S$2),0)</f>
        <v>0</v>
      </c>
      <c r="T9" s="18" t="n">
        <f aca="false">IFERROR(SUMIFS(data!$G:$G,data!$D:$D,$A9,data!$F:$F,T$2),0)</f>
        <v>0</v>
      </c>
      <c r="U9" s="19" t="n">
        <f aca="false">IFERROR(SUMIFS(data!$G:$G,data!$D:$D,$A9,data!$F:$F,U$2),0)</f>
        <v>0</v>
      </c>
      <c r="V9" s="18" t="n">
        <f aca="false">IFERROR(SUMIFS(data!$G:$G,data!$D:$D,$A9,data!$F:$F,V$2),0)</f>
        <v>0</v>
      </c>
      <c r="W9" s="19" t="n">
        <f aca="false">IFERROR(SUMIFS(data!$G:$G,data!$D:$D,$A9,data!$F:$F,W$2),0)</f>
        <v>0</v>
      </c>
      <c r="X9" s="18" t="n">
        <f aca="false">IFERROR(SUMIFS(data!$G:$G,data!$D:$D,$A9,data!$F:$F,X$2),0)</f>
        <v>0</v>
      </c>
      <c r="Y9" s="19" t="n">
        <f aca="false">IFERROR(SUMIFS(data!$G:$G,data!$D:$D,$A9,data!$F:$F,Y$2),0)</f>
        <v>0</v>
      </c>
      <c r="Z9" s="18" t="n">
        <f aca="false">IFERROR(SUMIFS(data!$G:$G,data!$D:$D,$A9,data!$F:$F,Z$2),0)</f>
        <v>0</v>
      </c>
      <c r="AA9" s="19" t="n">
        <f aca="false">IFERROR(SUMIFS(data!$G:$G,data!$D:$D,$A9,data!$F:$F,AA$2),0)</f>
        <v>0</v>
      </c>
      <c r="AB9" s="18" t="n">
        <f aca="false">IFERROR(SUMIFS(data!$G:$G,data!$D:$D,$A9,data!$F:$F,AB$2),0)</f>
        <v>0</v>
      </c>
      <c r="AC9" s="19" t="n">
        <f aca="false">IFERROR(SUMIFS(data!$G:$G,data!$D:$D,$A9,data!$F:$F,AC$2),0)</f>
        <v>0</v>
      </c>
      <c r="AD9" s="18" t="n">
        <f aca="false">IFERROR(SUMIFS(data!$G:$G,data!$D:$D,$A9,data!$F:$F,AD$2),0)</f>
        <v>0</v>
      </c>
      <c r="AE9" s="19" t="n">
        <f aca="false">IFERROR(SUMIFS(data!$G:$G,data!$D:$D,$A9,data!$F:$F,AE$2),0)</f>
        <v>0</v>
      </c>
      <c r="AF9" s="18" t="n">
        <f aca="false">IFERROR(SUMIFS(data!$G:$G,data!$D:$D,$A9,data!$F:$F,AF$2),0)</f>
        <v>0</v>
      </c>
      <c r="AG9" s="19" t="n">
        <f aca="false">IFERROR(SUMIFS(data!$G:$G,data!$D:$D,$A9,data!$F:$F,AG$2),0)</f>
        <v>0</v>
      </c>
      <c r="AH9" s="18" t="n">
        <f aca="false">IFERROR(SUMIFS(data!$G:$G,data!$D:$D,$A9,data!$F:$F,AH$2),0)</f>
        <v>0</v>
      </c>
      <c r="AI9" s="18" t="n">
        <f aca="false">SUM(D9:AH9)</f>
        <v>0</v>
      </c>
      <c r="AK9" s="18"/>
    </row>
    <row r="10" customFormat="false" ht="14.25" hidden="false" customHeight="false" outlineLevel="0" collapsed="false">
      <c r="A10" s="0" t="s">
        <v>15</v>
      </c>
      <c r="B10" s="7"/>
      <c r="C10" s="17" t="s">
        <v>16</v>
      </c>
      <c r="D10" s="18" t="n">
        <f aca="false">IFERROR(SUMIFS(data!$G:$G,data!$D:$D,$A10,data!$F:$F,D$2),0)</f>
        <v>0</v>
      </c>
      <c r="E10" s="19" t="n">
        <f aca="false">IFERROR(SUMIFS(data!$G:$G,data!$D:$D,$A10,data!$F:$F,E$2),0)</f>
        <v>0</v>
      </c>
      <c r="F10" s="18" t="n">
        <f aca="false">IFERROR(SUMIFS(data!$G:$G,data!$D:$D,$A10,data!$F:$F,F$2),0)</f>
        <v>0</v>
      </c>
      <c r="G10" s="19" t="n">
        <f aca="false">IFERROR(SUMIFS(data!$G:$G,data!$D:$D,$A10,data!$F:$F,G$2),0)</f>
        <v>0</v>
      </c>
      <c r="H10" s="18" t="n">
        <f aca="false">IFERROR(SUMIFS(data!$G:$G,data!$D:$D,$A10,data!$F:$F,H$2),0)</f>
        <v>0</v>
      </c>
      <c r="I10" s="19" t="n">
        <f aca="false">IFERROR(SUMIFS(data!$G:$G,data!$D:$D,$A10,data!$F:$F,I$2),0)</f>
        <v>0</v>
      </c>
      <c r="J10" s="18" t="n">
        <f aca="false">IFERROR(SUMIFS(data!$G:$G,data!$D:$D,$A10,data!$F:$F,J$2),0)</f>
        <v>0</v>
      </c>
      <c r="K10" s="19" t="n">
        <f aca="false">IFERROR(SUMIFS(data!$G:$G,data!$D:$D,$A10,data!$F:$F,K$2),0)</f>
        <v>0</v>
      </c>
      <c r="L10" s="18" t="n">
        <f aca="false">IFERROR(SUMIFS(data!$G:$G,data!$D:$D,$A10,data!$F:$F,L$2),0)</f>
        <v>0</v>
      </c>
      <c r="M10" s="19" t="n">
        <f aca="false">IFERROR(SUMIFS(data!$G:$G,data!$D:$D,$A10,data!$F:$F,M$2),0)</f>
        <v>0</v>
      </c>
      <c r="N10" s="18" t="n">
        <f aca="false">IFERROR(SUMIFS(data!$G:$G,data!$D:$D,$A10,data!$F:$F,N$2),0)</f>
        <v>0</v>
      </c>
      <c r="O10" s="19" t="n">
        <f aca="false">IFERROR(SUMIFS(data!$G:$G,data!$D:$D,$A10,data!$F:$F,O$2),0)</f>
        <v>0</v>
      </c>
      <c r="P10" s="18" t="n">
        <f aca="false">IFERROR(SUMIFS(data!$G:$G,data!$D:$D,$A10,data!$F:$F,P$2),0)</f>
        <v>0</v>
      </c>
      <c r="Q10" s="19" t="n">
        <f aca="false">IFERROR(SUMIFS(data!$G:$G,data!$D:$D,$A10,data!$F:$F,Q$2),0)</f>
        <v>0</v>
      </c>
      <c r="R10" s="18" t="n">
        <f aca="false">IFERROR(SUMIFS(data!$G:$G,data!$D:$D,$A10,data!$F:$F,R$2),0)</f>
        <v>0</v>
      </c>
      <c r="S10" s="19" t="n">
        <f aca="false">IFERROR(SUMIFS(data!$G:$G,data!$D:$D,$A10,data!$F:$F,S$2),0)</f>
        <v>0</v>
      </c>
      <c r="T10" s="18" t="n">
        <f aca="false">IFERROR(SUMIFS(data!$G:$G,data!$D:$D,$A10,data!$F:$F,T$2),0)</f>
        <v>0</v>
      </c>
      <c r="U10" s="19" t="n">
        <f aca="false">IFERROR(SUMIFS(data!$G:$G,data!$D:$D,$A10,data!$F:$F,U$2),0)</f>
        <v>0</v>
      </c>
      <c r="V10" s="18" t="n">
        <f aca="false">IFERROR(SUMIFS(data!$G:$G,data!$D:$D,$A10,data!$F:$F,V$2),0)</f>
        <v>0</v>
      </c>
      <c r="W10" s="19" t="n">
        <f aca="false">IFERROR(SUMIFS(data!$G:$G,data!$D:$D,$A10,data!$F:$F,W$2),0)</f>
        <v>0</v>
      </c>
      <c r="X10" s="18" t="n">
        <f aca="false">IFERROR(SUMIFS(data!$G:$G,data!$D:$D,$A10,data!$F:$F,X$2),0)</f>
        <v>0</v>
      </c>
      <c r="Y10" s="19" t="n">
        <f aca="false">IFERROR(SUMIFS(data!$G:$G,data!$D:$D,$A10,data!$F:$F,Y$2),0)</f>
        <v>0</v>
      </c>
      <c r="Z10" s="18" t="n">
        <f aca="false">IFERROR(SUMIFS(data!$G:$G,data!$D:$D,$A10,data!$F:$F,Z$2),0)</f>
        <v>0</v>
      </c>
      <c r="AA10" s="19" t="n">
        <f aca="false">IFERROR(SUMIFS(data!$G:$G,data!$D:$D,$A10,data!$F:$F,AA$2),0)</f>
        <v>0</v>
      </c>
      <c r="AB10" s="18" t="n">
        <f aca="false">IFERROR(SUMIFS(data!$G:$G,data!$D:$D,$A10,data!$F:$F,AB$2),0)</f>
        <v>0</v>
      </c>
      <c r="AC10" s="19" t="n">
        <f aca="false">IFERROR(SUMIFS(data!$G:$G,data!$D:$D,$A10,data!$F:$F,AC$2),0)</f>
        <v>0</v>
      </c>
      <c r="AD10" s="18" t="n">
        <f aca="false">IFERROR(SUMIFS(data!$G:$G,data!$D:$D,$A10,data!$F:$F,AD$2),0)</f>
        <v>0</v>
      </c>
      <c r="AE10" s="19" t="n">
        <f aca="false">IFERROR(SUMIFS(data!$G:$G,data!$D:$D,$A10,data!$F:$F,AE$2),0)</f>
        <v>0</v>
      </c>
      <c r="AF10" s="18" t="n">
        <f aca="false">IFERROR(SUMIFS(data!$G:$G,data!$D:$D,$A10,data!$F:$F,AF$2),0)</f>
        <v>0</v>
      </c>
      <c r="AG10" s="19" t="n">
        <f aca="false">IFERROR(SUMIFS(data!$G:$G,data!$D:$D,$A10,data!$F:$F,AG$2),0)</f>
        <v>0</v>
      </c>
      <c r="AH10" s="18" t="n">
        <f aca="false">IFERROR(SUMIFS(data!$G:$G,data!$D:$D,$A10,data!$F:$F,AH$2),0)</f>
        <v>0</v>
      </c>
      <c r="AI10" s="18" t="n">
        <f aca="false">SUM(D10:AH10)</f>
        <v>0</v>
      </c>
      <c r="AK10" s="18"/>
    </row>
    <row r="11" customFormat="false" ht="14.25" hidden="false" customHeight="false" outlineLevel="0" collapsed="false">
      <c r="A11" s="0" t="s">
        <v>17</v>
      </c>
      <c r="B11" s="7"/>
      <c r="C11" s="17" t="s">
        <v>18</v>
      </c>
      <c r="D11" s="18" t="n">
        <f aca="false">IFERROR(SUMIFS(data!$G:$G,data!$D:$D,$A11,data!$F:$F,D$2),0)</f>
        <v>0</v>
      </c>
      <c r="E11" s="19" t="n">
        <f aca="false">IFERROR(SUMIFS(data!$G:$G,data!$D:$D,$A11,data!$F:$F,E$2),0)</f>
        <v>0</v>
      </c>
      <c r="F11" s="18" t="n">
        <f aca="false">IFERROR(SUMIFS(data!$G:$G,data!$D:$D,$A11,data!$F:$F,F$2),0)</f>
        <v>0</v>
      </c>
      <c r="G11" s="19" t="n">
        <f aca="false">IFERROR(SUMIFS(data!$G:$G,data!$D:$D,$A11,data!$F:$F,G$2),0)</f>
        <v>0</v>
      </c>
      <c r="H11" s="18" t="n">
        <f aca="false">IFERROR(SUMIFS(data!$G:$G,data!$D:$D,$A11,data!$F:$F,H$2),0)</f>
        <v>0</v>
      </c>
      <c r="I11" s="19" t="n">
        <f aca="false">IFERROR(SUMIFS(data!$G:$G,data!$D:$D,$A11,data!$F:$F,I$2),0)</f>
        <v>0</v>
      </c>
      <c r="J11" s="18" t="n">
        <f aca="false">IFERROR(SUMIFS(data!$G:$G,data!$D:$D,$A11,data!$F:$F,J$2),0)</f>
        <v>0</v>
      </c>
      <c r="K11" s="19" t="n">
        <f aca="false">IFERROR(SUMIFS(data!$G:$G,data!$D:$D,$A11,data!$F:$F,K$2),0)</f>
        <v>0</v>
      </c>
      <c r="L11" s="18" t="n">
        <f aca="false">IFERROR(SUMIFS(data!$G:$G,data!$D:$D,$A11,data!$F:$F,L$2),0)</f>
        <v>0</v>
      </c>
      <c r="M11" s="19" t="n">
        <f aca="false">IFERROR(SUMIFS(data!$G:$G,data!$D:$D,$A11,data!$F:$F,M$2),0)</f>
        <v>0</v>
      </c>
      <c r="N11" s="18" t="n">
        <f aca="false">IFERROR(SUMIFS(data!$G:$G,data!$D:$D,$A11,data!$F:$F,N$2),0)</f>
        <v>0</v>
      </c>
      <c r="O11" s="19" t="n">
        <f aca="false">IFERROR(SUMIFS(data!$G:$G,data!$D:$D,$A11,data!$F:$F,O$2),0)</f>
        <v>0</v>
      </c>
      <c r="P11" s="18" t="n">
        <f aca="false">IFERROR(SUMIFS(data!$G:$G,data!$D:$D,$A11,data!$F:$F,P$2),0)</f>
        <v>0</v>
      </c>
      <c r="Q11" s="19" t="n">
        <f aca="false">IFERROR(SUMIFS(data!$G:$G,data!$D:$D,$A11,data!$F:$F,Q$2),0)</f>
        <v>0</v>
      </c>
      <c r="R11" s="18" t="n">
        <f aca="false">IFERROR(SUMIFS(data!$G:$G,data!$D:$D,$A11,data!$F:$F,R$2),0)</f>
        <v>0</v>
      </c>
      <c r="S11" s="19" t="n">
        <f aca="false">IFERROR(SUMIFS(data!$G:$G,data!$D:$D,$A11,data!$F:$F,S$2),0)</f>
        <v>0</v>
      </c>
      <c r="T11" s="18" t="n">
        <f aca="false">IFERROR(SUMIFS(data!$G:$G,data!$D:$D,$A11,data!$F:$F,T$2),0)</f>
        <v>0</v>
      </c>
      <c r="U11" s="19" t="n">
        <f aca="false">IFERROR(SUMIFS(data!$G:$G,data!$D:$D,$A11,data!$F:$F,U$2),0)</f>
        <v>0</v>
      </c>
      <c r="V11" s="18" t="n">
        <f aca="false">IFERROR(SUMIFS(data!$G:$G,data!$D:$D,$A11,data!$F:$F,V$2),0)</f>
        <v>0</v>
      </c>
      <c r="W11" s="19" t="n">
        <f aca="false">IFERROR(SUMIFS(data!$G:$G,data!$D:$D,$A11,data!$F:$F,W$2),0)</f>
        <v>0</v>
      </c>
      <c r="X11" s="18" t="n">
        <f aca="false">IFERROR(SUMIFS(data!$G:$G,data!$D:$D,$A11,data!$F:$F,X$2),0)</f>
        <v>0</v>
      </c>
      <c r="Y11" s="19" t="n">
        <f aca="false">IFERROR(SUMIFS(data!$G:$G,data!$D:$D,$A11,data!$F:$F,Y$2),0)</f>
        <v>0</v>
      </c>
      <c r="Z11" s="18" t="n">
        <f aca="false">IFERROR(SUMIFS(data!$G:$G,data!$D:$D,$A11,data!$F:$F,Z$2),0)</f>
        <v>0</v>
      </c>
      <c r="AA11" s="19" t="n">
        <f aca="false">IFERROR(SUMIFS(data!$G:$G,data!$D:$D,$A11,data!$F:$F,AA$2),0)</f>
        <v>0</v>
      </c>
      <c r="AB11" s="18" t="n">
        <f aca="false">IFERROR(SUMIFS(data!$G:$G,data!$D:$D,$A11,data!$F:$F,AB$2),0)</f>
        <v>0</v>
      </c>
      <c r="AC11" s="19" t="n">
        <f aca="false">IFERROR(SUMIFS(data!$G:$G,data!$D:$D,$A11,data!$F:$F,AC$2),0)</f>
        <v>0</v>
      </c>
      <c r="AD11" s="18" t="n">
        <f aca="false">IFERROR(SUMIFS(data!$G:$G,data!$D:$D,$A11,data!$F:$F,AD$2),0)</f>
        <v>0</v>
      </c>
      <c r="AE11" s="19" t="n">
        <f aca="false">IFERROR(SUMIFS(data!$G:$G,data!$D:$D,$A11,data!$F:$F,AE$2),0)</f>
        <v>0</v>
      </c>
      <c r="AF11" s="18" t="n">
        <f aca="false">IFERROR(SUMIFS(data!$G:$G,data!$D:$D,$A11,data!$F:$F,AF$2),0)</f>
        <v>0</v>
      </c>
      <c r="AG11" s="19" t="n">
        <f aca="false">IFERROR(SUMIFS(data!$G:$G,data!$D:$D,$A11,data!$F:$F,AG$2),0)</f>
        <v>0</v>
      </c>
      <c r="AH11" s="18" t="n">
        <f aca="false">IFERROR(SUMIFS(data!$G:$G,data!$D:$D,$A11,data!$F:$F,AH$2),0)</f>
        <v>0</v>
      </c>
      <c r="AI11" s="18" t="n">
        <f aca="false">SUM(D11:AH11)</f>
        <v>0</v>
      </c>
      <c r="AK11" s="18"/>
    </row>
    <row r="12" customFormat="false" ht="14.25" hidden="false" customHeight="false" outlineLevel="0" collapsed="false">
      <c r="A12" s="0" t="s">
        <v>19</v>
      </c>
      <c r="B12" s="7"/>
      <c r="C12" s="17" t="s">
        <v>20</v>
      </c>
      <c r="D12" s="18" t="n">
        <f aca="false">IFERROR(SUMIFS(data!$G:$G,data!$J:$J,$A12,data!$F:$F,D$2),0)</f>
        <v>0</v>
      </c>
      <c r="E12" s="19" t="n">
        <f aca="false">IFERROR(SUMIFS(data!$G:$G,data!$J:$J,$A12,data!$F:$F,E$2),0)</f>
        <v>0</v>
      </c>
      <c r="F12" s="18" t="n">
        <f aca="false">IFERROR(SUMIFS(data!$G:$G,data!$J:$J,$A12,data!$F:$F,F$2),0)</f>
        <v>0</v>
      </c>
      <c r="G12" s="19" t="n">
        <f aca="false">IFERROR(SUMIFS(data!$G:$G,data!$J:$J,$A12,data!$F:$F,G$2),0)</f>
        <v>0</v>
      </c>
      <c r="H12" s="18" t="n">
        <f aca="false">IFERROR(SUMIFS(data!$G:$G,data!$J:$J,$A12,data!$F:$F,H$2),0)</f>
        <v>0</v>
      </c>
      <c r="I12" s="19" t="n">
        <f aca="false">IFERROR(SUMIFS(data!$G:$G,data!$J:$J,$A12,data!$F:$F,I$2),0)</f>
        <v>0</v>
      </c>
      <c r="J12" s="18" t="n">
        <f aca="false">IFERROR(SUMIFS(data!$G:$G,data!$J:$J,$A12,data!$F:$F,J$2),0)</f>
        <v>0</v>
      </c>
      <c r="K12" s="19" t="n">
        <f aca="false">IFERROR(SUMIFS(data!$G:$G,data!$J:$J,$A12,data!$F:$F,K$2),0)</f>
        <v>0</v>
      </c>
      <c r="L12" s="18" t="n">
        <f aca="false">IFERROR(SUMIFS(data!$G:$G,data!$J:$J,$A12,data!$F:$F,L$2),0)</f>
        <v>0</v>
      </c>
      <c r="M12" s="19" t="n">
        <f aca="false">IFERROR(SUMIFS(data!$G:$G,data!$J:$J,$A12,data!$F:$F,M$2),0)</f>
        <v>0</v>
      </c>
      <c r="N12" s="18" t="n">
        <f aca="false">IFERROR(SUMIFS(data!$G:$G,data!$J:$J,$A12,data!$F:$F,N$2),0)</f>
        <v>0</v>
      </c>
      <c r="O12" s="19" t="n">
        <f aca="false">IFERROR(SUMIFS(data!$G:$G,data!$J:$J,$A12,data!$F:$F,O$2),0)</f>
        <v>0</v>
      </c>
      <c r="P12" s="18" t="n">
        <f aca="false">IFERROR(SUMIFS(data!$G:$G,data!$J:$J,$A12,data!$F:$F,P$2),0)</f>
        <v>0</v>
      </c>
      <c r="Q12" s="19" t="n">
        <f aca="false">IFERROR(SUMIFS(data!$G:$G,data!$J:$J,$A12,data!$F:$F,Q$2),0)</f>
        <v>0</v>
      </c>
      <c r="R12" s="18" t="n">
        <f aca="false">IFERROR(SUMIFS(data!$G:$G,data!$J:$J,$A12,data!$F:$F,R$2),0)</f>
        <v>0</v>
      </c>
      <c r="S12" s="19" t="n">
        <f aca="false">IFERROR(SUMIFS(data!$G:$G,data!$J:$J,$A12,data!$F:$F,S$2),0)</f>
        <v>0</v>
      </c>
      <c r="T12" s="18" t="n">
        <f aca="false">IFERROR(SUMIFS(data!$G:$G,data!$J:$J,$A12,data!$F:$F,T$2),0)</f>
        <v>0</v>
      </c>
      <c r="U12" s="19" t="n">
        <f aca="false">IFERROR(SUMIFS(data!$G:$G,data!$J:$J,$A12,data!$F:$F,U$2),0)</f>
        <v>0</v>
      </c>
      <c r="V12" s="18" t="n">
        <f aca="false">IFERROR(SUMIFS(data!$G:$G,data!$J:$J,$A12,data!$F:$F,V$2),0)</f>
        <v>0</v>
      </c>
      <c r="W12" s="19" t="n">
        <f aca="false">IFERROR(SUMIFS(data!$G:$G,data!$J:$J,$A12,data!$F:$F,W$2),0)</f>
        <v>0</v>
      </c>
      <c r="X12" s="18" t="n">
        <f aca="false">IFERROR(SUMIFS(data!$G:$G,data!$J:$J,$A12,data!$F:$F,X$2),0)</f>
        <v>0</v>
      </c>
      <c r="Y12" s="19" t="n">
        <f aca="false">IFERROR(SUMIFS(data!$G:$G,data!$J:$J,$A12,data!$F:$F,Y$2),0)</f>
        <v>0</v>
      </c>
      <c r="Z12" s="18" t="n">
        <f aca="false">IFERROR(SUMIFS(data!$G:$G,data!$J:$J,$A12,data!$F:$F,Z$2),0)</f>
        <v>0</v>
      </c>
      <c r="AA12" s="19" t="n">
        <f aca="false">IFERROR(SUMIFS(data!$G:$G,data!$J:$J,$A12,data!$F:$F,AA$2),0)</f>
        <v>0</v>
      </c>
      <c r="AB12" s="18" t="n">
        <f aca="false">IFERROR(SUMIFS(data!$G:$G,data!$J:$J,$A12,data!$F:$F,AB$2),0)</f>
        <v>0</v>
      </c>
      <c r="AC12" s="19" t="n">
        <f aca="false">IFERROR(SUMIFS(data!$G:$G,data!$J:$J,$A12,data!$F:$F,AC$2),0)</f>
        <v>0</v>
      </c>
      <c r="AD12" s="18" t="n">
        <f aca="false">IFERROR(SUMIFS(data!$G:$G,data!$J:$J,$A12,data!$F:$F,AD$2),0)</f>
        <v>0</v>
      </c>
      <c r="AE12" s="19" t="n">
        <f aca="false">IFERROR(SUMIFS(data!$G:$G,data!$J:$J,$A12,data!$F:$F,AE$2),0)</f>
        <v>0</v>
      </c>
      <c r="AF12" s="18" t="n">
        <f aca="false">IFERROR(SUMIFS(data!$G:$G,data!$J:$J,$A12,data!$F:$F,AF$2),0)</f>
        <v>0</v>
      </c>
      <c r="AG12" s="19" t="n">
        <f aca="false">IFERROR(SUMIFS(data!$G:$G,data!$J:$J,$A12,data!$F:$F,AG$2),0)</f>
        <v>0</v>
      </c>
      <c r="AH12" s="18" t="n">
        <f aca="false">IFERROR(SUMIFS(data!$G:$G,data!$J:$J,$A12,data!$F:$F,AH$2),0)</f>
        <v>0</v>
      </c>
      <c r="AI12" s="18" t="n">
        <f aca="false">SUM(D12:AH12)</f>
        <v>0</v>
      </c>
      <c r="AK12" s="18"/>
    </row>
    <row r="13" customFormat="false" ht="14.25" hidden="false" customHeight="false" outlineLevel="0" collapsed="false">
      <c r="A13" s="0" t="s">
        <v>21</v>
      </c>
      <c r="B13" s="7"/>
      <c r="C13" s="14" t="s">
        <v>22</v>
      </c>
      <c r="D13" s="18" t="n">
        <f aca="false">IFERROR(SUMIFS(data!$G:$G,data!$J:$J,$A13,data!$F:$F,D$2),0)</f>
        <v>0</v>
      </c>
      <c r="E13" s="16" t="n">
        <f aca="false">IFERROR(SUMIFS(data!$G:$G,data!$J:$J,$A13,data!$F:$F,E$2),0)</f>
        <v>0</v>
      </c>
      <c r="F13" s="18" t="n">
        <f aca="false">IFERROR(SUMIFS(data!$G:$G,data!$J:$J,$A13,data!$F:$F,F$2),0)</f>
        <v>0</v>
      </c>
      <c r="G13" s="16" t="n">
        <f aca="false">IFERROR(SUMIFS(data!$G:$G,data!$J:$J,$A13,data!$F:$F,G$2),0)</f>
        <v>0</v>
      </c>
      <c r="H13" s="18" t="n">
        <f aca="false">IFERROR(SUMIFS(data!$G:$G,data!$J:$J,$A13,data!$F:$F,H$2),0)</f>
        <v>0</v>
      </c>
      <c r="I13" s="16" t="n">
        <f aca="false">IFERROR(SUMIFS(data!$G:$G,data!$J:$J,$A13,data!$F:$F,I$2),0)</f>
        <v>0</v>
      </c>
      <c r="J13" s="18" t="n">
        <f aca="false">IFERROR(SUMIFS(data!$G:$G,data!$J:$J,$A13,data!$F:$F,J$2),0)</f>
        <v>0</v>
      </c>
      <c r="K13" s="16" t="n">
        <f aca="false">IFERROR(SUMIFS(data!$G:$G,data!$J:$J,$A13,data!$F:$F,K$2),0)</f>
        <v>0</v>
      </c>
      <c r="L13" s="18" t="n">
        <f aca="false">IFERROR(SUMIFS(data!$G:$G,data!$J:$J,$A13,data!$F:$F,L$2),0)</f>
        <v>0</v>
      </c>
      <c r="M13" s="16" t="n">
        <f aca="false">IFERROR(SUMIFS(data!$G:$G,data!$J:$J,$A13,data!$F:$F,M$2),0)</f>
        <v>0</v>
      </c>
      <c r="N13" s="18" t="n">
        <f aca="false">IFERROR(SUMIFS(data!$G:$G,data!$J:$J,$A13,data!$F:$F,N$2),0)</f>
        <v>0</v>
      </c>
      <c r="O13" s="16" t="n">
        <f aca="false">IFERROR(SUMIFS(data!$G:$G,data!$J:$J,$A13,data!$F:$F,O$2),0)</f>
        <v>0</v>
      </c>
      <c r="P13" s="18" t="n">
        <f aca="false">IFERROR(SUMIFS(data!$G:$G,data!$J:$J,$A13,data!$F:$F,P$2),0)</f>
        <v>0</v>
      </c>
      <c r="Q13" s="16" t="n">
        <f aca="false">IFERROR(SUMIFS(data!$G:$G,data!$J:$J,$A13,data!$F:$F,Q$2),0)</f>
        <v>0</v>
      </c>
      <c r="R13" s="18" t="n">
        <f aca="false">IFERROR(SUMIFS(data!$G:$G,data!$J:$J,$A13,data!$F:$F,R$2),0)</f>
        <v>0</v>
      </c>
      <c r="S13" s="16" t="n">
        <f aca="false">IFERROR(SUMIFS(data!$G:$G,data!$J:$J,$A13,data!$F:$F,S$2),0)</f>
        <v>0</v>
      </c>
      <c r="T13" s="18" t="n">
        <f aca="false">IFERROR(SUMIFS(data!$G:$G,data!$J:$J,$A13,data!$F:$F,T$2),0)</f>
        <v>0</v>
      </c>
      <c r="U13" s="16" t="n">
        <f aca="false">IFERROR(SUMIFS(data!$G:$G,data!$J:$J,$A13,data!$F:$F,U$2),0)</f>
        <v>0</v>
      </c>
      <c r="V13" s="18" t="n">
        <f aca="false">IFERROR(SUMIFS(data!$G:$G,data!$J:$J,$A13,data!$F:$F,V$2),0)</f>
        <v>0</v>
      </c>
      <c r="W13" s="16" t="n">
        <f aca="false">IFERROR(SUMIFS(data!$G:$G,data!$J:$J,$A13,data!$F:$F,W$2),0)</f>
        <v>0</v>
      </c>
      <c r="X13" s="18" t="n">
        <f aca="false">IFERROR(SUMIFS(data!$G:$G,data!$J:$J,$A13,data!$F:$F,X$2),0)</f>
        <v>0</v>
      </c>
      <c r="Y13" s="16" t="n">
        <f aca="false">IFERROR(SUMIFS(data!$G:$G,data!$J:$J,$A13,data!$F:$F,Y$2),0)</f>
        <v>0</v>
      </c>
      <c r="Z13" s="18" t="n">
        <f aca="false">IFERROR(SUMIFS(data!$G:$G,data!$J:$J,$A13,data!$F:$F,Z$2),0)</f>
        <v>0</v>
      </c>
      <c r="AA13" s="16" t="n">
        <f aca="false">IFERROR(SUMIFS(data!$G:$G,data!$J:$J,$A13,data!$F:$F,AA$2),0)</f>
        <v>0</v>
      </c>
      <c r="AB13" s="18" t="n">
        <f aca="false">IFERROR(SUMIFS(data!$G:$G,data!$J:$J,$A13,data!$F:$F,AB$2),0)</f>
        <v>0</v>
      </c>
      <c r="AC13" s="16" t="n">
        <f aca="false">IFERROR(SUMIFS(data!$G:$G,data!$J:$J,$A13,data!$F:$F,AC$2),0)</f>
        <v>0</v>
      </c>
      <c r="AD13" s="18" t="n">
        <f aca="false">IFERROR(SUMIFS(data!$G:$G,data!$J:$J,$A13,data!$F:$F,AD$2),0)</f>
        <v>0</v>
      </c>
      <c r="AE13" s="16" t="n">
        <f aca="false">IFERROR(SUMIFS(data!$G:$G,data!$J:$J,$A13,data!$F:$F,AE$2),0)</f>
        <v>0</v>
      </c>
      <c r="AF13" s="18" t="n">
        <f aca="false">IFERROR(SUMIFS(data!$G:$G,data!$J:$J,$A13,data!$F:$F,AF$2),0)</f>
        <v>0</v>
      </c>
      <c r="AG13" s="16" t="n">
        <f aca="false">IFERROR(SUMIFS(data!$G:$G,data!$J:$J,$A13,data!$F:$F,AG$2),0)</f>
        <v>0</v>
      </c>
      <c r="AH13" s="15" t="n">
        <f aca="false">IFERROR(SUMIFS(data!$G:$G,data!$J:$J,$A13,data!$F:$F,AH$2),0)</f>
        <v>0</v>
      </c>
      <c r="AI13" s="15" t="n">
        <f aca="false">SUM(D13:AH13)</f>
        <v>0</v>
      </c>
      <c r="AK13" s="15"/>
    </row>
    <row r="14" customFormat="false" ht="14.25" hidden="false" customHeight="false" outlineLevel="0" collapsed="false">
      <c r="A14" s="0" t="s">
        <v>23</v>
      </c>
      <c r="B14" s="7"/>
      <c r="C14" s="14" t="s">
        <v>24</v>
      </c>
      <c r="D14" s="18" t="n">
        <f aca="false">IFERROR(SUMIFS(data!$G:$G,data!$J:$J,$A14,data!$F:$F,D$2),0)</f>
        <v>0</v>
      </c>
      <c r="E14" s="16" t="n">
        <f aca="false">IFERROR(SUMIFS(data!$G:$G,data!$J:$J,$A14,data!$F:$F,E$2),0)</f>
        <v>0</v>
      </c>
      <c r="F14" s="15" t="n">
        <f aca="false">IFERROR(SUMIFS(data!$G:$G,data!$J:$J,$A14,data!$F:$F,F$2),0)</f>
        <v>0</v>
      </c>
      <c r="G14" s="16" t="n">
        <f aca="false">IFERROR(SUMIFS(data!$G:$G,data!$J:$J,$A14,data!$F:$F,G$2),0)</f>
        <v>0</v>
      </c>
      <c r="H14" s="15" t="n">
        <f aca="false">IFERROR(SUMIFS(data!$G:$G,data!$J:$J,$A14,data!$F:$F,H$2),0)</f>
        <v>0</v>
      </c>
      <c r="I14" s="16" t="n">
        <f aca="false">IFERROR(SUMIFS(data!$G:$G,data!$J:$J,$A14,data!$F:$F,I$2),0)</f>
        <v>0</v>
      </c>
      <c r="J14" s="15" t="n">
        <f aca="false">IFERROR(SUMIFS(data!$G:$G,data!$J:$J,$A14,data!$F:$F,J$2),0)</f>
        <v>0</v>
      </c>
      <c r="K14" s="16" t="n">
        <f aca="false">IFERROR(SUMIFS(data!$G:$G,data!$J:$J,$A14,data!$F:$F,K$2),0)</f>
        <v>0</v>
      </c>
      <c r="L14" s="15" t="n">
        <f aca="false">IFERROR(SUMIFS(data!$G:$G,data!$J:$J,$A14,data!$F:$F,L$2),0)</f>
        <v>0</v>
      </c>
      <c r="M14" s="16" t="n">
        <f aca="false">IFERROR(SUMIFS(data!$G:$G,data!$J:$J,$A14,data!$F:$F,M$2),0)</f>
        <v>0</v>
      </c>
      <c r="N14" s="15" t="n">
        <f aca="false">IFERROR(SUMIFS(data!$G:$G,data!$J:$J,$A14,data!$F:$F,N$2),0)</f>
        <v>0</v>
      </c>
      <c r="O14" s="16" t="n">
        <f aca="false">IFERROR(SUMIFS(data!$G:$G,data!$J:$J,$A14,data!$F:$F,O$2),0)</f>
        <v>0</v>
      </c>
      <c r="P14" s="15" t="n">
        <f aca="false">IFERROR(SUMIFS(data!$G:$G,data!$J:$J,$A14,data!$F:$F,P$2),0)</f>
        <v>0</v>
      </c>
      <c r="Q14" s="16" t="n">
        <f aca="false">IFERROR(SUMIFS(data!$G:$G,data!$J:$J,$A14,data!$F:$F,Q$2),0)</f>
        <v>0</v>
      </c>
      <c r="R14" s="15" t="n">
        <f aca="false">IFERROR(SUMIFS(data!$G:$G,data!$J:$J,$A14,data!$F:$F,R$2),0)</f>
        <v>0</v>
      </c>
      <c r="S14" s="16" t="n">
        <f aca="false">IFERROR(SUMIFS(data!$G:$G,data!$J:$J,$A14,data!$F:$F,S$2),0)</f>
        <v>0</v>
      </c>
      <c r="T14" s="15" t="n">
        <f aca="false">IFERROR(SUMIFS(data!$G:$G,data!$J:$J,$A14,data!$F:$F,T$2),0)</f>
        <v>0</v>
      </c>
      <c r="U14" s="16" t="n">
        <f aca="false">IFERROR(SUMIFS(data!$G:$G,data!$J:$J,$A14,data!$F:$F,U$2),0)</f>
        <v>0</v>
      </c>
      <c r="V14" s="15" t="n">
        <f aca="false">IFERROR(SUMIFS(data!$G:$G,data!$J:$J,$A14,data!$F:$F,V$2),0)</f>
        <v>0</v>
      </c>
      <c r="W14" s="16" t="n">
        <f aca="false">IFERROR(SUMIFS(data!$G:$G,data!$J:$J,$A14,data!$F:$F,W$2),0)</f>
        <v>0</v>
      </c>
      <c r="X14" s="15" t="n">
        <f aca="false">IFERROR(SUMIFS(data!$G:$G,data!$J:$J,$A14,data!$F:$F,X$2),0)</f>
        <v>0</v>
      </c>
      <c r="Y14" s="16" t="n">
        <f aca="false">IFERROR(SUMIFS(data!$G:$G,data!$J:$J,$A14,data!$F:$F,Y$2),0)</f>
        <v>0</v>
      </c>
      <c r="Z14" s="15" t="n">
        <f aca="false">IFERROR(SUMIFS(data!$G:$G,data!$J:$J,$A14,data!$F:$F,Z$2),0)</f>
        <v>0</v>
      </c>
      <c r="AA14" s="16" t="n">
        <f aca="false">IFERROR(SUMIFS(data!$G:$G,data!$J:$J,$A14,data!$F:$F,AA$2),0)</f>
        <v>0</v>
      </c>
      <c r="AB14" s="15" t="n">
        <f aca="false">IFERROR(SUMIFS(data!$G:$G,data!$J:$J,$A14,data!$F:$F,AB$2),0)</f>
        <v>0</v>
      </c>
      <c r="AC14" s="16" t="n">
        <f aca="false">IFERROR(SUMIFS(data!$G:$G,data!$J:$J,$A14,data!$F:$F,AC$2),0)</f>
        <v>0</v>
      </c>
      <c r="AD14" s="15" t="n">
        <f aca="false">IFERROR(SUMIFS(data!$G:$G,data!$J:$J,$A14,data!$F:$F,AD$2),0)</f>
        <v>0</v>
      </c>
      <c r="AE14" s="16" t="n">
        <f aca="false">IFERROR(SUMIFS(data!$G:$G,data!$J:$J,$A14,data!$F:$F,AE$2),0)</f>
        <v>0</v>
      </c>
      <c r="AF14" s="15" t="n">
        <f aca="false">IFERROR(SUMIFS(data!$G:$G,data!$J:$J,$A14,data!$F:$F,AF$2),0)</f>
        <v>0</v>
      </c>
      <c r="AG14" s="16" t="n">
        <f aca="false">IFERROR(SUMIFS(data!$G:$G,data!$J:$J,$A14,data!$F:$F,AG$2),0)</f>
        <v>0</v>
      </c>
      <c r="AH14" s="15" t="n">
        <f aca="false">IFERROR(SUMIFS(data!$G:$G,data!$J:$J,$A14,data!$F:$F,AH$2),0)</f>
        <v>0</v>
      </c>
      <c r="AI14" s="15" t="n">
        <f aca="false">SUM(D14:AH14)</f>
        <v>0</v>
      </c>
      <c r="AK14" s="15"/>
    </row>
    <row r="15" customFormat="false" ht="14.25" hidden="false" customHeight="false" outlineLevel="0" collapsed="false">
      <c r="A15" s="0" t="s">
        <v>25</v>
      </c>
      <c r="B15" s="7"/>
      <c r="C15" s="14" t="s">
        <v>26</v>
      </c>
      <c r="D15" s="18" t="n">
        <f aca="false">IFERROR(SUMIFS(data!$G:$G,data!$J:$J,$A15,data!$F:$F,D$2),0)</f>
        <v>0</v>
      </c>
      <c r="E15" s="16" t="n">
        <f aca="false">IFERROR(SUMIFS(data!$G:$G,data!$J:$J,$A15,data!$F:$F,E$2),0)</f>
        <v>0</v>
      </c>
      <c r="F15" s="18" t="n">
        <f aca="false">IFERROR(SUMIFS(data!$G:$G,data!$J:$J,$A15,data!$F:$F,F$2),0)</f>
        <v>0</v>
      </c>
      <c r="G15" s="16" t="n">
        <f aca="false">IFERROR(SUMIFS(data!$G:$G,data!$J:$J,$A15,data!$F:$F,G$2),0)</f>
        <v>0</v>
      </c>
      <c r="H15" s="18" t="n">
        <f aca="false">IFERROR(SUMIFS(data!$G:$G,data!$J:$J,$A15,data!$F:$F,H$2),0)</f>
        <v>0</v>
      </c>
      <c r="I15" s="16" t="n">
        <f aca="false">IFERROR(SUMIFS(data!$G:$G,data!$J:$J,$A15,data!$F:$F,I$2),0)</f>
        <v>0</v>
      </c>
      <c r="J15" s="18" t="n">
        <f aca="false">IFERROR(SUMIFS(data!$G:$G,data!$J:$J,$A15,data!$F:$F,J$2),0)</f>
        <v>0</v>
      </c>
      <c r="K15" s="16" t="n">
        <f aca="false">IFERROR(SUMIFS(data!$G:$G,data!$J:$J,$A15,data!$F:$F,K$2),0)</f>
        <v>0</v>
      </c>
      <c r="L15" s="18" t="n">
        <f aca="false">IFERROR(SUMIFS(data!$G:$G,data!$J:$J,$A15,data!$F:$F,L$2),0)</f>
        <v>0</v>
      </c>
      <c r="M15" s="16" t="n">
        <f aca="false">IFERROR(SUMIFS(data!$G:$G,data!$J:$J,$A15,data!$F:$F,M$2),0)</f>
        <v>0</v>
      </c>
      <c r="N15" s="18" t="n">
        <f aca="false">IFERROR(SUMIFS(data!$G:$G,data!$J:$J,$A15,data!$F:$F,N$2),0)</f>
        <v>0</v>
      </c>
      <c r="O15" s="16" t="n">
        <f aca="false">IFERROR(SUMIFS(data!$G:$G,data!$J:$J,$A15,data!$F:$F,O$2),0)</f>
        <v>0</v>
      </c>
      <c r="P15" s="18" t="n">
        <f aca="false">IFERROR(SUMIFS(data!$G:$G,data!$J:$J,$A15,data!$F:$F,P$2),0)</f>
        <v>0</v>
      </c>
      <c r="Q15" s="16" t="n">
        <f aca="false">IFERROR(SUMIFS(data!$G:$G,data!$J:$J,$A15,data!$F:$F,Q$2),0)</f>
        <v>0</v>
      </c>
      <c r="R15" s="18" t="n">
        <f aca="false">IFERROR(SUMIFS(data!$G:$G,data!$J:$J,$A15,data!$F:$F,R$2),0)</f>
        <v>0</v>
      </c>
      <c r="S15" s="16" t="n">
        <f aca="false">IFERROR(SUMIFS(data!$G:$G,data!$J:$J,$A15,data!$F:$F,S$2),0)</f>
        <v>0</v>
      </c>
      <c r="T15" s="18" t="n">
        <f aca="false">IFERROR(SUMIFS(data!$G:$G,data!$J:$J,$A15,data!$F:$F,T$2),0)</f>
        <v>0</v>
      </c>
      <c r="U15" s="16" t="n">
        <f aca="false">IFERROR(SUMIFS(data!$G:$G,data!$J:$J,$A15,data!$F:$F,U$2),0)</f>
        <v>0</v>
      </c>
      <c r="V15" s="18" t="n">
        <f aca="false">IFERROR(SUMIFS(data!$G:$G,data!$J:$J,$A15,data!$F:$F,V$2),0)</f>
        <v>0</v>
      </c>
      <c r="W15" s="16" t="n">
        <f aca="false">IFERROR(SUMIFS(data!$G:$G,data!$J:$J,$A15,data!$F:$F,W$2),0)</f>
        <v>0</v>
      </c>
      <c r="X15" s="18" t="n">
        <f aca="false">IFERROR(SUMIFS(data!$G:$G,data!$J:$J,$A15,data!$F:$F,X$2),0)</f>
        <v>0</v>
      </c>
      <c r="Y15" s="16" t="n">
        <f aca="false">IFERROR(SUMIFS(data!$G:$G,data!$J:$J,$A15,data!$F:$F,Y$2),0)</f>
        <v>0</v>
      </c>
      <c r="Z15" s="18" t="n">
        <f aca="false">IFERROR(SUMIFS(data!$G:$G,data!$J:$J,$A15,data!$F:$F,Z$2),0)</f>
        <v>0</v>
      </c>
      <c r="AA15" s="16" t="n">
        <f aca="false">IFERROR(SUMIFS(data!$G:$G,data!$J:$J,$A15,data!$F:$F,AA$2),0)</f>
        <v>0</v>
      </c>
      <c r="AB15" s="18" t="n">
        <f aca="false">IFERROR(SUMIFS(data!$G:$G,data!$J:$J,$A15,data!$F:$F,AB$2),0)</f>
        <v>0</v>
      </c>
      <c r="AC15" s="16" t="n">
        <f aca="false">IFERROR(SUMIFS(data!$G:$G,data!$J:$J,$A15,data!$F:$F,AC$2),0)</f>
        <v>0</v>
      </c>
      <c r="AD15" s="18" t="n">
        <f aca="false">IFERROR(SUMIFS(data!$G:$G,data!$J:$J,$A15,data!$F:$F,AD$2),0)</f>
        <v>0</v>
      </c>
      <c r="AE15" s="16" t="n">
        <f aca="false">IFERROR(SUMIFS(data!$G:$G,data!$J:$J,$A15,data!$F:$F,AE$2),0)</f>
        <v>0</v>
      </c>
      <c r="AF15" s="18" t="n">
        <f aca="false">IFERROR(SUMIFS(data!$G:$G,data!$J:$J,$A15,data!$F:$F,AF$2),0)</f>
        <v>0</v>
      </c>
      <c r="AG15" s="16" t="n">
        <f aca="false">IFERROR(SUMIFS(data!$G:$G,data!$J:$J,$A15,data!$F:$F,AG$2),0)</f>
        <v>0</v>
      </c>
      <c r="AH15" s="15" t="n">
        <f aca="false">IFERROR(SUMIFS(data!$G:$G,data!$J:$J,$A15,data!$F:$F,AH$2),0)</f>
        <v>0</v>
      </c>
      <c r="AI15" s="15" t="n">
        <f aca="false">SUM(D15:AH15)</f>
        <v>0</v>
      </c>
      <c r="AK15" s="15"/>
    </row>
    <row r="16" customFormat="false" ht="30" hidden="false" customHeight="true" outlineLevel="0" collapsed="false">
      <c r="A16" s="6"/>
      <c r="B16" s="7"/>
      <c r="C16" s="20" t="s">
        <v>27</v>
      </c>
      <c r="D16" s="21" t="n">
        <f aca="false">SUM(D8,D13,D14,D15)</f>
        <v>0</v>
      </c>
      <c r="E16" s="21" t="n">
        <f aca="false">SUM(E8,E13,E14,E15)</f>
        <v>0</v>
      </c>
      <c r="F16" s="21" t="n">
        <f aca="false">SUM(F8,F13,F14,F15)</f>
        <v>0</v>
      </c>
      <c r="G16" s="21" t="n">
        <f aca="false">SUM(G8,G13,G14,G15)</f>
        <v>0</v>
      </c>
      <c r="H16" s="21" t="n">
        <f aca="false">SUM(H8,H13,H14,H15)</f>
        <v>0</v>
      </c>
      <c r="I16" s="21" t="n">
        <f aca="false">SUM(I8,I13,I14,I15)</f>
        <v>0</v>
      </c>
      <c r="J16" s="21" t="n">
        <f aca="false">SUM(J8,J13,J14,J15)</f>
        <v>0</v>
      </c>
      <c r="K16" s="21" t="n">
        <f aca="false">SUM(K8,K13,K14,K15)</f>
        <v>0</v>
      </c>
      <c r="L16" s="21" t="n">
        <f aca="false">SUM(L8,L13,L14,L15)</f>
        <v>0</v>
      </c>
      <c r="M16" s="21" t="n">
        <f aca="false">SUM(M8,M13,M14,M15)</f>
        <v>0</v>
      </c>
      <c r="N16" s="21" t="n">
        <f aca="false">SUM(N8,N13,N14,N15)</f>
        <v>0</v>
      </c>
      <c r="O16" s="21" t="n">
        <f aca="false">SUM(O8,O13,O14,O15)</f>
        <v>0</v>
      </c>
      <c r="P16" s="21" t="n">
        <f aca="false">SUM(P8,P13,P14,P15)</f>
        <v>0</v>
      </c>
      <c r="Q16" s="21" t="n">
        <f aca="false">SUM(Q8,Q13,Q14,Q15)</f>
        <v>0</v>
      </c>
      <c r="R16" s="21" t="n">
        <f aca="false">SUM(R8,R13,R14,R15)</f>
        <v>0</v>
      </c>
      <c r="S16" s="21" t="n">
        <f aca="false">SUM(S8,S13,S14,S15)</f>
        <v>0</v>
      </c>
      <c r="T16" s="21" t="n">
        <f aca="false">SUM(T8,T13,T14,T15)</f>
        <v>0</v>
      </c>
      <c r="U16" s="21" t="n">
        <f aca="false">SUM(U8,U13,U14,U15)</f>
        <v>0</v>
      </c>
      <c r="V16" s="21" t="n">
        <f aca="false">SUM(V8,V13,V14,V15)</f>
        <v>0</v>
      </c>
      <c r="W16" s="21" t="n">
        <f aca="false">SUM(W8,W13,W14,W15)</f>
        <v>0</v>
      </c>
      <c r="X16" s="21" t="n">
        <f aca="false">SUM(X8,X13,X14,X15)</f>
        <v>0</v>
      </c>
      <c r="Y16" s="21" t="n">
        <f aca="false">SUM(Y8,Y13,Y14,Y15)</f>
        <v>0</v>
      </c>
      <c r="Z16" s="21" t="n">
        <f aca="false">SUM(Z8,Z13,Z14,Z15)</f>
        <v>0</v>
      </c>
      <c r="AA16" s="21" t="n">
        <f aca="false">SUM(AA8,AA13,AA14,AA15)</f>
        <v>0</v>
      </c>
      <c r="AB16" s="21" t="n">
        <f aca="false">SUM(AB8,AB13,AB14,AB15)</f>
        <v>0</v>
      </c>
      <c r="AC16" s="21" t="n">
        <f aca="false">SUM(AC8,AC13,AC14,AC15)</f>
        <v>0</v>
      </c>
      <c r="AD16" s="21" t="n">
        <f aca="false">SUM(AD8,AD13,AD14,AD15)</f>
        <v>0</v>
      </c>
      <c r="AE16" s="21" t="n">
        <f aca="false">SUM(AE8,AE13,AE14,AE15)</f>
        <v>0</v>
      </c>
      <c r="AF16" s="21" t="n">
        <f aca="false">SUM(AF8,AF13,AF14,AF15)</f>
        <v>0</v>
      </c>
      <c r="AG16" s="21" t="n">
        <f aca="false">SUM(AG8,AG13,AG14,AG15)</f>
        <v>0</v>
      </c>
      <c r="AH16" s="21" t="n">
        <f aca="false">SUM(AH8,AH13,AH14,AH15)</f>
        <v>0</v>
      </c>
      <c r="AI16" s="21" t="n">
        <f aca="false">SUM(D16:AH16)</f>
        <v>0</v>
      </c>
      <c r="AJ16" s="6"/>
      <c r="AK16" s="21"/>
      <c r="AL16" s="6"/>
    </row>
    <row r="17" customFormat="false" ht="14.25" hidden="false" customHeight="false" outlineLevel="0" collapsed="false">
      <c r="A17" s="1"/>
      <c r="B17" s="7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3"/>
      <c r="AJ17" s="24"/>
      <c r="AK17" s="23"/>
      <c r="AL17" s="1"/>
    </row>
    <row r="18" customFormat="false" ht="14.25" hidden="false" customHeight="true" outlineLevel="0" collapsed="false">
      <c r="A18" s="11"/>
      <c r="B18" s="7"/>
      <c r="C18" s="25" t="s">
        <v>28</v>
      </c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7"/>
      <c r="AJ18" s="11"/>
      <c r="AK18" s="27"/>
      <c r="AL18" s="11"/>
    </row>
    <row r="19" customFormat="false" ht="14.25" hidden="false" customHeight="false" outlineLevel="0" collapsed="false">
      <c r="A19" s="0" t="s">
        <v>13</v>
      </c>
      <c r="B19" s="7"/>
      <c r="C19" s="14" t="s">
        <v>22</v>
      </c>
      <c r="D19" s="15" t="n">
        <f aca="false">IFERROR(SUMIFS(data!$O:$O,data!$R:$R,$A19,data!$N:$N,D$2),0)</f>
        <v>0</v>
      </c>
      <c r="E19" s="16" t="n">
        <f aca="false">IFERROR(SUMIFS(data!$O:$O,data!$R:$R,$A19,data!$N:$N,E$2),0)</f>
        <v>0</v>
      </c>
      <c r="F19" s="15" t="n">
        <f aca="false">IFERROR(SUMIFS(data!$O:$O,data!$R:$R,$A19,data!$N:$N,F$2),0)</f>
        <v>0</v>
      </c>
      <c r="G19" s="16" t="n">
        <f aca="false">IFERROR(SUMIFS(data!$O:$O,data!$R:$R,$A19,data!$N:$N,G$2),0)</f>
        <v>0</v>
      </c>
      <c r="H19" s="15" t="n">
        <f aca="false">IFERROR(SUMIFS(data!$O:$O,data!$R:$R,$A19,data!$N:$N,H$2),0)</f>
        <v>0</v>
      </c>
      <c r="I19" s="16" t="n">
        <f aca="false">IFERROR(SUMIFS(data!$O:$O,data!$R:$R,$A19,data!$N:$N,I$2),0)</f>
        <v>0</v>
      </c>
      <c r="J19" s="15" t="n">
        <f aca="false">IFERROR(SUMIFS(data!$O:$O,data!$R:$R,$A19,data!$N:$N,J$2),0)</f>
        <v>0</v>
      </c>
      <c r="K19" s="16" t="n">
        <f aca="false">IFERROR(SUMIFS(data!$O:$O,data!$R:$R,$A19,data!$N:$N,K$2),0)</f>
        <v>0</v>
      </c>
      <c r="L19" s="15" t="n">
        <f aca="false">IFERROR(SUMIFS(data!$O:$O,data!$R:$R,$A19,data!$N:$N,L$2),0)</f>
        <v>0</v>
      </c>
      <c r="M19" s="16" t="n">
        <f aca="false">IFERROR(SUMIFS(data!$O:$O,data!$R:$R,$A19,data!$N:$N,M$2),0)</f>
        <v>0</v>
      </c>
      <c r="N19" s="15" t="n">
        <f aca="false">IFERROR(SUMIFS(data!$O:$O,data!$R:$R,$A19,data!$N:$N,N$2),0)</f>
        <v>0</v>
      </c>
      <c r="O19" s="16" t="n">
        <f aca="false">IFERROR(SUMIFS(data!$O:$O,data!$R:$R,$A19,data!$N:$N,O$2),0)</f>
        <v>0</v>
      </c>
      <c r="P19" s="15" t="n">
        <f aca="false">IFERROR(SUMIFS(data!$O:$O,data!$R:$R,$A19,data!$N:$N,P$2),0)</f>
        <v>0</v>
      </c>
      <c r="Q19" s="16" t="n">
        <f aca="false">IFERROR(SUMIFS(data!$O:$O,data!$R:$R,$A19,data!$N:$N,Q$2),0)</f>
        <v>0</v>
      </c>
      <c r="R19" s="15" t="n">
        <f aca="false">IFERROR(SUMIFS(data!$O:$O,data!$R:$R,$A19,data!$N:$N,R$2),0)</f>
        <v>0</v>
      </c>
      <c r="S19" s="16" t="n">
        <f aca="false">IFERROR(SUMIFS(data!$O:$O,data!$R:$R,$A19,data!$N:$N,S$2),0)</f>
        <v>0</v>
      </c>
      <c r="T19" s="15" t="n">
        <f aca="false">IFERROR(SUMIFS(data!$O:$O,data!$R:$R,$A19,data!$N:$N,T$2),0)</f>
        <v>0</v>
      </c>
      <c r="U19" s="16" t="n">
        <f aca="false">IFERROR(SUMIFS(data!$O:$O,data!$R:$R,$A19,data!$N:$N,U$2),0)</f>
        <v>0</v>
      </c>
      <c r="V19" s="15" t="n">
        <f aca="false">IFERROR(SUMIFS(data!$O:$O,data!$R:$R,$A19,data!$N:$N,V$2),0)</f>
        <v>0</v>
      </c>
      <c r="W19" s="16" t="n">
        <f aca="false">IFERROR(SUMIFS(data!$O:$O,data!$R:$R,$A19,data!$N:$N,W$2),0)</f>
        <v>0</v>
      </c>
      <c r="X19" s="15" t="n">
        <f aca="false">IFERROR(SUMIFS(data!$O:$O,data!$R:$R,$A19,data!$N:$N,X$2),0)</f>
        <v>0</v>
      </c>
      <c r="Y19" s="16" t="n">
        <f aca="false">IFERROR(SUMIFS(data!$O:$O,data!$R:$R,$A19,data!$N:$N,Y$2),0)</f>
        <v>0</v>
      </c>
      <c r="Z19" s="15" t="n">
        <f aca="false">IFERROR(SUMIFS(data!$O:$O,data!$R:$R,$A19,data!$N:$N,Z$2),0)</f>
        <v>0</v>
      </c>
      <c r="AA19" s="16" t="n">
        <f aca="false">IFERROR(SUMIFS(data!$O:$O,data!$R:$R,$A19,data!$N:$N,AA$2),0)</f>
        <v>0</v>
      </c>
      <c r="AB19" s="15" t="n">
        <f aca="false">IFERROR(SUMIFS(data!$O:$O,data!$R:$R,$A19,data!$N:$N,AB$2),0)</f>
        <v>0</v>
      </c>
      <c r="AC19" s="16" t="n">
        <f aca="false">IFERROR(SUMIFS(data!$O:$O,data!$R:$R,$A19,data!$N:$N,AC$2),0)</f>
        <v>0</v>
      </c>
      <c r="AD19" s="15" t="n">
        <f aca="false">IFERROR(SUMIFS(data!$O:$O,data!$R:$R,$A19,data!$N:$N,AD$2),0)</f>
        <v>0</v>
      </c>
      <c r="AE19" s="16" t="n">
        <f aca="false">IFERROR(SUMIFS(data!$O:$O,data!$R:$R,$A19,data!$N:$N,AE$2),0)</f>
        <v>0</v>
      </c>
      <c r="AF19" s="15" t="n">
        <f aca="false">IFERROR(SUMIFS(data!$O:$O,data!$R:$R,$A19,data!$N:$N,AF$2),0)</f>
        <v>0</v>
      </c>
      <c r="AG19" s="16" t="n">
        <f aca="false">IFERROR(SUMIFS(data!$O:$O,data!$R:$R,$A19,data!$N:$N,AG$2),0)</f>
        <v>0</v>
      </c>
      <c r="AH19" s="15" t="n">
        <f aca="false">IFERROR(SUMIFS(data!$O:$O,data!$R:$R,$A19,data!$N:$N,AH$2),0)</f>
        <v>0</v>
      </c>
      <c r="AI19" s="15" t="n">
        <f aca="false">SUM(D19:AH19)</f>
        <v>0</v>
      </c>
      <c r="AK19" s="15"/>
    </row>
    <row r="20" customFormat="false" ht="14.25" hidden="false" customHeight="false" outlineLevel="0" collapsed="false">
      <c r="A20" s="0" t="s">
        <v>15</v>
      </c>
      <c r="B20" s="7"/>
      <c r="C20" s="14" t="s">
        <v>12</v>
      </c>
      <c r="D20" s="15" t="n">
        <f aca="false">SUM(D21:D24)</f>
        <v>0</v>
      </c>
      <c r="E20" s="16" t="n">
        <f aca="false">SUM(E21:E24)</f>
        <v>0</v>
      </c>
      <c r="F20" s="15" t="n">
        <f aca="false">SUM(F21:F24)</f>
        <v>0</v>
      </c>
      <c r="G20" s="16" t="n">
        <f aca="false">SUM(G21:G24)</f>
        <v>0</v>
      </c>
      <c r="H20" s="15" t="n">
        <f aca="false">SUM(H21:H24)</f>
        <v>0</v>
      </c>
      <c r="I20" s="16" t="n">
        <f aca="false">SUM(I21:I24)</f>
        <v>0</v>
      </c>
      <c r="J20" s="15" t="n">
        <f aca="false">SUM(J21:J24)</f>
        <v>0</v>
      </c>
      <c r="K20" s="16" t="n">
        <f aca="false">SUM(K21:K24)</f>
        <v>0</v>
      </c>
      <c r="L20" s="15" t="n">
        <f aca="false">SUM(L21:L24)</f>
        <v>0</v>
      </c>
      <c r="M20" s="16" t="n">
        <f aca="false">SUM(M21:M24)</f>
        <v>0</v>
      </c>
      <c r="N20" s="15" t="n">
        <f aca="false">SUM(N21:N24)</f>
        <v>0</v>
      </c>
      <c r="O20" s="16" t="n">
        <f aca="false">SUM(O21:O24)</f>
        <v>0</v>
      </c>
      <c r="P20" s="15" t="n">
        <f aca="false">SUM(P21:P24)</f>
        <v>0</v>
      </c>
      <c r="Q20" s="16" t="n">
        <f aca="false">SUM(Q21:Q24)</f>
        <v>0</v>
      </c>
      <c r="R20" s="15" t="n">
        <f aca="false">SUM(R21:R24)</f>
        <v>0</v>
      </c>
      <c r="S20" s="16" t="n">
        <f aca="false">SUM(S21:S24)</f>
        <v>0</v>
      </c>
      <c r="T20" s="15" t="n">
        <f aca="false">SUM(T21:T24)</f>
        <v>0</v>
      </c>
      <c r="U20" s="16" t="n">
        <f aca="false">SUM(U21:U24)</f>
        <v>0</v>
      </c>
      <c r="V20" s="15" t="n">
        <f aca="false">SUM(V21:V24)</f>
        <v>0</v>
      </c>
      <c r="W20" s="16" t="n">
        <f aca="false">SUM(W21:W24)</f>
        <v>0</v>
      </c>
      <c r="X20" s="15" t="n">
        <f aca="false">SUM(X21:X24)</f>
        <v>0</v>
      </c>
      <c r="Y20" s="16" t="n">
        <f aca="false">SUM(Y21:Y24)</f>
        <v>0</v>
      </c>
      <c r="Z20" s="15" t="n">
        <f aca="false">SUM(Z21:Z24)</f>
        <v>0</v>
      </c>
      <c r="AA20" s="16" t="n">
        <f aca="false">SUM(AA21:AA24)</f>
        <v>0</v>
      </c>
      <c r="AB20" s="15" t="n">
        <f aca="false">SUM(AB21:AB24)</f>
        <v>0</v>
      </c>
      <c r="AC20" s="16" t="n">
        <f aca="false">SUM(AC21:AC24)</f>
        <v>0</v>
      </c>
      <c r="AD20" s="15" t="n">
        <f aca="false">SUM(AD21:AD24)</f>
        <v>0</v>
      </c>
      <c r="AE20" s="16" t="n">
        <f aca="false">SUM(AE21:AE24)</f>
        <v>0</v>
      </c>
      <c r="AF20" s="15" t="n">
        <f aca="false">SUM(AF21:AF24)</f>
        <v>0</v>
      </c>
      <c r="AG20" s="16" t="n">
        <f aca="false">SUM(AG21:AG24)</f>
        <v>0</v>
      </c>
      <c r="AH20" s="15" t="n">
        <f aca="false">SUM(AH21:AH24)</f>
        <v>0</v>
      </c>
      <c r="AI20" s="15" t="n">
        <f aca="false">SUM(D20:AH20)</f>
        <v>0</v>
      </c>
      <c r="AK20" s="15"/>
    </row>
    <row r="21" customFormat="false" ht="14.25" hidden="false" customHeight="false" outlineLevel="0" collapsed="false">
      <c r="A21" s="0" t="s">
        <v>17</v>
      </c>
      <c r="B21" s="7"/>
      <c r="C21" s="17" t="s">
        <v>14</v>
      </c>
      <c r="D21" s="18" t="n">
        <f aca="false">IFERROR(SUMIFS(data!$O:$O,data!$L:$L,$A21,data!$N:$N,D$2),0)</f>
        <v>0</v>
      </c>
      <c r="E21" s="19" t="n">
        <f aca="false">IFERROR(SUMIFS(data!$O:$O,data!$L:$L,$A21,data!$N:$N,E$2),0)</f>
        <v>0</v>
      </c>
      <c r="F21" s="18" t="n">
        <f aca="false">IFERROR(SUMIFS(data!$O:$O,data!$L:$L,$A21,data!$N:$N,F$2),0)</f>
        <v>0</v>
      </c>
      <c r="G21" s="19" t="n">
        <f aca="false">IFERROR(SUMIFS(data!$O:$O,data!$L:$L,$A21,data!$N:$N,G$2),0)</f>
        <v>0</v>
      </c>
      <c r="H21" s="18" t="n">
        <f aca="false">IFERROR(SUMIFS(data!$O:$O,data!$L:$L,$A21,data!$N:$N,H$2),0)</f>
        <v>0</v>
      </c>
      <c r="I21" s="19" t="n">
        <f aca="false">IFERROR(SUMIFS(data!$O:$O,data!$L:$L,$A21,data!$N:$N,I$2),0)</f>
        <v>0</v>
      </c>
      <c r="J21" s="18" t="n">
        <f aca="false">IFERROR(SUMIFS(data!$O:$O,data!$L:$L,$A21,data!$N:$N,J$2),0)</f>
        <v>0</v>
      </c>
      <c r="K21" s="19" t="n">
        <f aca="false">IFERROR(SUMIFS(data!$O:$O,data!$L:$L,$A21,data!$N:$N,K$2),0)</f>
        <v>0</v>
      </c>
      <c r="L21" s="18" t="n">
        <f aca="false">IFERROR(SUMIFS(data!$O:$O,data!$L:$L,$A21,data!$N:$N,L$2),0)</f>
        <v>0</v>
      </c>
      <c r="M21" s="19" t="n">
        <f aca="false">IFERROR(SUMIFS(data!$O:$O,data!$L:$L,$A21,data!$N:$N,M$2),0)</f>
        <v>0</v>
      </c>
      <c r="N21" s="18" t="n">
        <f aca="false">IFERROR(SUMIFS(data!$O:$O,data!$L:$L,$A21,data!$N:$N,N$2),0)</f>
        <v>0</v>
      </c>
      <c r="O21" s="19" t="n">
        <f aca="false">IFERROR(SUMIFS(data!$O:$O,data!$L:$L,$A21,data!$N:$N,O$2),0)</f>
        <v>0</v>
      </c>
      <c r="P21" s="18" t="n">
        <f aca="false">IFERROR(SUMIFS(data!$O:$O,data!$L:$L,$A21,data!$N:$N,P$2),0)</f>
        <v>0</v>
      </c>
      <c r="Q21" s="19" t="n">
        <f aca="false">IFERROR(SUMIFS(data!$O:$O,data!$L:$L,$A21,data!$N:$N,Q$2),0)</f>
        <v>0</v>
      </c>
      <c r="R21" s="18" t="n">
        <f aca="false">IFERROR(SUMIFS(data!$O:$O,data!$L:$L,$A21,data!$N:$N,R$2),0)</f>
        <v>0</v>
      </c>
      <c r="S21" s="19" t="n">
        <f aca="false">IFERROR(SUMIFS(data!$O:$O,data!$L:$L,$A21,data!$N:$N,S$2),0)</f>
        <v>0</v>
      </c>
      <c r="T21" s="18" t="n">
        <f aca="false">IFERROR(SUMIFS(data!$O:$O,data!$L:$L,$A21,data!$N:$N,T$2),0)</f>
        <v>0</v>
      </c>
      <c r="U21" s="19" t="n">
        <f aca="false">IFERROR(SUMIFS(data!$O:$O,data!$L:$L,$A21,data!$N:$N,U$2),0)</f>
        <v>0</v>
      </c>
      <c r="V21" s="18" t="n">
        <f aca="false">IFERROR(SUMIFS(data!$O:$O,data!$L:$L,$A21,data!$N:$N,V$2),0)</f>
        <v>0</v>
      </c>
      <c r="W21" s="19" t="n">
        <f aca="false">IFERROR(SUMIFS(data!$O:$O,data!$L:$L,$A21,data!$N:$N,W$2),0)</f>
        <v>0</v>
      </c>
      <c r="X21" s="18" t="n">
        <f aca="false">IFERROR(SUMIFS(data!$O:$O,data!$L:$L,$A21,data!$N:$N,X$2),0)</f>
        <v>0</v>
      </c>
      <c r="Y21" s="19" t="n">
        <f aca="false">IFERROR(SUMIFS(data!$O:$O,data!$L:$L,$A21,data!$N:$N,Y$2),0)</f>
        <v>0</v>
      </c>
      <c r="Z21" s="18" t="n">
        <f aca="false">IFERROR(SUMIFS(data!$O:$O,data!$L:$L,$A21,data!$N:$N,Z$2),0)</f>
        <v>0</v>
      </c>
      <c r="AA21" s="19" t="n">
        <f aca="false">IFERROR(SUMIFS(data!$O:$O,data!$L:$L,$A21,data!$N:$N,AA$2),0)</f>
        <v>0</v>
      </c>
      <c r="AB21" s="18" t="n">
        <f aca="false">IFERROR(SUMIFS(data!$O:$O,data!$L:$L,$A21,data!$N:$N,AB$2),0)</f>
        <v>0</v>
      </c>
      <c r="AC21" s="19" t="n">
        <f aca="false">IFERROR(SUMIFS(data!$O:$O,data!$L:$L,$A21,data!$N:$N,AC$2),0)</f>
        <v>0</v>
      </c>
      <c r="AD21" s="18" t="n">
        <f aca="false">IFERROR(SUMIFS(data!$O:$O,data!$L:$L,$A21,data!$N:$N,AD$2),0)</f>
        <v>0</v>
      </c>
      <c r="AE21" s="19" t="n">
        <f aca="false">IFERROR(SUMIFS(data!$O:$O,data!$L:$L,$A21,data!$N:$N,AE$2),0)</f>
        <v>0</v>
      </c>
      <c r="AF21" s="18" t="n">
        <f aca="false">IFERROR(SUMIFS(data!$O:$O,data!$L:$L,$A21,data!$N:$N,AF$2),0)</f>
        <v>0</v>
      </c>
      <c r="AG21" s="19" t="n">
        <f aca="false">IFERROR(SUMIFS(data!$O:$O,data!$L:$L,$A21,data!$N:$N,AG$2),0)</f>
        <v>0</v>
      </c>
      <c r="AH21" s="18" t="n">
        <f aca="false">IFERROR(SUMIFS(data!$O:$O,data!$L:$L,$A21,data!$N:$N,AH$2),0)</f>
        <v>0</v>
      </c>
      <c r="AI21" s="18" t="n">
        <f aca="false">SUM(D21:AH21)</f>
        <v>0</v>
      </c>
      <c r="AK21" s="18"/>
    </row>
    <row r="22" customFormat="false" ht="14.25" hidden="false" customHeight="false" outlineLevel="0" collapsed="false">
      <c r="A22" s="0" t="s">
        <v>19</v>
      </c>
      <c r="B22" s="7"/>
      <c r="C22" s="17" t="s">
        <v>16</v>
      </c>
      <c r="D22" s="18" t="n">
        <f aca="false">IFERROR(SUMIFS(data!$O:$O,data!$L:$L,$A22,data!$N:$N,D$2),0)</f>
        <v>0</v>
      </c>
      <c r="E22" s="19" t="n">
        <f aca="false">IFERROR(SUMIFS(data!$O:$O,data!$L:$L,$A22,data!$N:$N,E$2),0)</f>
        <v>0</v>
      </c>
      <c r="F22" s="18" t="n">
        <f aca="false">IFERROR(SUMIFS(data!$O:$O,data!$L:$L,$A22,data!$N:$N,F$2),0)</f>
        <v>0</v>
      </c>
      <c r="G22" s="19" t="n">
        <f aca="false">IFERROR(SUMIFS(data!$O:$O,data!$L:$L,$A22,data!$N:$N,G$2),0)</f>
        <v>0</v>
      </c>
      <c r="H22" s="18" t="n">
        <f aca="false">IFERROR(SUMIFS(data!$O:$O,data!$L:$L,$A22,data!$N:$N,H$2),0)</f>
        <v>0</v>
      </c>
      <c r="I22" s="19" t="n">
        <f aca="false">IFERROR(SUMIFS(data!$O:$O,data!$L:$L,$A22,data!$N:$N,I$2),0)</f>
        <v>0</v>
      </c>
      <c r="J22" s="18" t="n">
        <f aca="false">IFERROR(SUMIFS(data!$O:$O,data!$L:$L,$A22,data!$N:$N,J$2),0)</f>
        <v>0</v>
      </c>
      <c r="K22" s="19" t="n">
        <f aca="false">IFERROR(SUMIFS(data!$O:$O,data!$L:$L,$A22,data!$N:$N,K$2),0)</f>
        <v>0</v>
      </c>
      <c r="L22" s="18" t="n">
        <f aca="false">IFERROR(SUMIFS(data!$O:$O,data!$L:$L,$A22,data!$N:$N,L$2),0)</f>
        <v>0</v>
      </c>
      <c r="M22" s="19" t="n">
        <f aca="false">IFERROR(SUMIFS(data!$O:$O,data!$L:$L,$A22,data!$N:$N,M$2),0)</f>
        <v>0</v>
      </c>
      <c r="N22" s="18" t="n">
        <f aca="false">IFERROR(SUMIFS(data!$O:$O,data!$L:$L,$A22,data!$N:$N,N$2),0)</f>
        <v>0</v>
      </c>
      <c r="O22" s="19" t="n">
        <f aca="false">IFERROR(SUMIFS(data!$O:$O,data!$L:$L,$A22,data!$N:$N,O$2),0)</f>
        <v>0</v>
      </c>
      <c r="P22" s="18" t="n">
        <f aca="false">IFERROR(SUMIFS(data!$O:$O,data!$L:$L,$A22,data!$N:$N,P$2),0)</f>
        <v>0</v>
      </c>
      <c r="Q22" s="19" t="n">
        <f aca="false">IFERROR(SUMIFS(data!$O:$O,data!$L:$L,$A22,data!$N:$N,Q$2),0)</f>
        <v>0</v>
      </c>
      <c r="R22" s="18" t="n">
        <f aca="false">IFERROR(SUMIFS(data!$O:$O,data!$L:$L,$A22,data!$N:$N,R$2),0)</f>
        <v>0</v>
      </c>
      <c r="S22" s="19" t="n">
        <f aca="false">IFERROR(SUMIFS(data!$O:$O,data!$L:$L,$A22,data!$N:$N,S$2),0)</f>
        <v>0</v>
      </c>
      <c r="T22" s="18" t="n">
        <f aca="false">IFERROR(SUMIFS(data!$O:$O,data!$L:$L,$A22,data!$N:$N,T$2),0)</f>
        <v>0</v>
      </c>
      <c r="U22" s="19" t="n">
        <f aca="false">IFERROR(SUMIFS(data!$O:$O,data!$L:$L,$A22,data!$N:$N,U$2),0)</f>
        <v>0</v>
      </c>
      <c r="V22" s="18" t="n">
        <f aca="false">IFERROR(SUMIFS(data!$O:$O,data!$L:$L,$A22,data!$N:$N,V$2),0)</f>
        <v>0</v>
      </c>
      <c r="W22" s="19" t="n">
        <f aca="false">IFERROR(SUMIFS(data!$O:$O,data!$L:$L,$A22,data!$N:$N,W$2),0)</f>
        <v>0</v>
      </c>
      <c r="X22" s="18" t="n">
        <f aca="false">IFERROR(SUMIFS(data!$O:$O,data!$L:$L,$A22,data!$N:$N,X$2),0)</f>
        <v>0</v>
      </c>
      <c r="Y22" s="19" t="n">
        <f aca="false">IFERROR(SUMIFS(data!$O:$O,data!$L:$L,$A22,data!$N:$N,Y$2),0)</f>
        <v>0</v>
      </c>
      <c r="Z22" s="18" t="n">
        <f aca="false">IFERROR(SUMIFS(data!$O:$O,data!$L:$L,$A22,data!$N:$N,Z$2),0)</f>
        <v>0</v>
      </c>
      <c r="AA22" s="19" t="n">
        <f aca="false">IFERROR(SUMIFS(data!$O:$O,data!$L:$L,$A22,data!$N:$N,AA$2),0)</f>
        <v>0</v>
      </c>
      <c r="AB22" s="18" t="n">
        <f aca="false">IFERROR(SUMIFS(data!$O:$O,data!$L:$L,$A22,data!$N:$N,AB$2),0)</f>
        <v>0</v>
      </c>
      <c r="AC22" s="19" t="n">
        <f aca="false">IFERROR(SUMIFS(data!$O:$O,data!$L:$L,$A22,data!$N:$N,AC$2),0)</f>
        <v>0</v>
      </c>
      <c r="AD22" s="18" t="n">
        <f aca="false">IFERROR(SUMIFS(data!$O:$O,data!$L:$L,$A22,data!$N:$N,AD$2),0)</f>
        <v>0</v>
      </c>
      <c r="AE22" s="19" t="n">
        <f aca="false">IFERROR(SUMIFS(data!$O:$O,data!$L:$L,$A22,data!$N:$N,AE$2),0)</f>
        <v>0</v>
      </c>
      <c r="AF22" s="18" t="n">
        <f aca="false">IFERROR(SUMIFS(data!$O:$O,data!$L:$L,$A22,data!$N:$N,AF$2),0)</f>
        <v>0</v>
      </c>
      <c r="AG22" s="19" t="n">
        <f aca="false">IFERROR(SUMIFS(data!$O:$O,data!$L:$L,$A22,data!$N:$N,AG$2),0)</f>
        <v>0</v>
      </c>
      <c r="AH22" s="18" t="n">
        <f aca="false">IFERROR(SUMIFS(data!$O:$O,data!$L:$L,$A22,data!$N:$N,AH$2),0)</f>
        <v>0</v>
      </c>
      <c r="AI22" s="18" t="n">
        <f aca="false">SUM(D22:AH22)</f>
        <v>0</v>
      </c>
      <c r="AK22" s="18"/>
    </row>
    <row r="23" customFormat="false" ht="14.25" hidden="false" customHeight="false" outlineLevel="0" collapsed="false">
      <c r="A23" s="0" t="s">
        <v>21</v>
      </c>
      <c r="B23" s="7"/>
      <c r="C23" s="17" t="s">
        <v>18</v>
      </c>
      <c r="D23" s="18" t="n">
        <f aca="false">IFERROR(SUMIFS(data!$O:$O,data!$L:$L,$A23,data!$N:$N,D$2),0)</f>
        <v>0</v>
      </c>
      <c r="E23" s="19" t="n">
        <f aca="false">IFERROR(SUMIFS(data!$O:$O,data!$L:$L,$A23,data!$N:$N,E$2),0)</f>
        <v>0</v>
      </c>
      <c r="F23" s="18" t="n">
        <f aca="false">IFERROR(SUMIFS(data!$O:$O,data!$L:$L,$A23,data!$N:$N,F$2),0)</f>
        <v>0</v>
      </c>
      <c r="G23" s="19" t="n">
        <f aca="false">IFERROR(SUMIFS(data!$O:$O,data!$L:$L,$A23,data!$N:$N,G$2),0)</f>
        <v>0</v>
      </c>
      <c r="H23" s="18" t="n">
        <f aca="false">IFERROR(SUMIFS(data!$O:$O,data!$L:$L,$A23,data!$N:$N,H$2),0)</f>
        <v>0</v>
      </c>
      <c r="I23" s="19" t="n">
        <f aca="false">IFERROR(SUMIFS(data!$O:$O,data!$L:$L,$A23,data!$N:$N,I$2),0)</f>
        <v>0</v>
      </c>
      <c r="J23" s="18" t="n">
        <f aca="false">IFERROR(SUMIFS(data!$O:$O,data!$L:$L,$A23,data!$N:$N,J$2),0)</f>
        <v>0</v>
      </c>
      <c r="K23" s="19" t="n">
        <f aca="false">IFERROR(SUMIFS(data!$O:$O,data!$L:$L,$A23,data!$N:$N,K$2),0)</f>
        <v>0</v>
      </c>
      <c r="L23" s="18" t="n">
        <f aca="false">IFERROR(SUMIFS(data!$O:$O,data!$L:$L,$A23,data!$N:$N,L$2),0)</f>
        <v>0</v>
      </c>
      <c r="M23" s="19" t="n">
        <f aca="false">IFERROR(SUMIFS(data!$O:$O,data!$L:$L,$A23,data!$N:$N,M$2),0)</f>
        <v>0</v>
      </c>
      <c r="N23" s="18" t="n">
        <f aca="false">IFERROR(SUMIFS(data!$O:$O,data!$L:$L,$A23,data!$N:$N,N$2),0)</f>
        <v>0</v>
      </c>
      <c r="O23" s="19" t="n">
        <f aca="false">IFERROR(SUMIFS(data!$O:$O,data!$L:$L,$A23,data!$N:$N,O$2),0)</f>
        <v>0</v>
      </c>
      <c r="P23" s="18" t="n">
        <f aca="false">IFERROR(SUMIFS(data!$O:$O,data!$L:$L,$A23,data!$N:$N,P$2),0)</f>
        <v>0</v>
      </c>
      <c r="Q23" s="19" t="n">
        <f aca="false">IFERROR(SUMIFS(data!$O:$O,data!$L:$L,$A23,data!$N:$N,Q$2),0)</f>
        <v>0</v>
      </c>
      <c r="R23" s="18" t="n">
        <f aca="false">IFERROR(SUMIFS(data!$O:$O,data!$L:$L,$A23,data!$N:$N,R$2),0)</f>
        <v>0</v>
      </c>
      <c r="S23" s="19" t="n">
        <f aca="false">IFERROR(SUMIFS(data!$O:$O,data!$L:$L,$A23,data!$N:$N,S$2),0)</f>
        <v>0</v>
      </c>
      <c r="T23" s="18" t="n">
        <f aca="false">IFERROR(SUMIFS(data!$O:$O,data!$L:$L,$A23,data!$N:$N,T$2),0)</f>
        <v>0</v>
      </c>
      <c r="U23" s="19" t="n">
        <f aca="false">IFERROR(SUMIFS(data!$O:$O,data!$L:$L,$A23,data!$N:$N,U$2),0)</f>
        <v>0</v>
      </c>
      <c r="V23" s="18" t="n">
        <f aca="false">IFERROR(SUMIFS(data!$O:$O,data!$L:$L,$A23,data!$N:$N,V$2),0)</f>
        <v>0</v>
      </c>
      <c r="W23" s="19" t="n">
        <f aca="false">IFERROR(SUMIFS(data!$O:$O,data!$L:$L,$A23,data!$N:$N,W$2),0)</f>
        <v>0</v>
      </c>
      <c r="X23" s="18" t="n">
        <f aca="false">IFERROR(SUMIFS(data!$O:$O,data!$L:$L,$A23,data!$N:$N,X$2),0)</f>
        <v>0</v>
      </c>
      <c r="Y23" s="19" t="n">
        <f aca="false">IFERROR(SUMIFS(data!$O:$O,data!$L:$L,$A23,data!$N:$N,Y$2),0)</f>
        <v>0</v>
      </c>
      <c r="Z23" s="18" t="n">
        <f aca="false">IFERROR(SUMIFS(data!$O:$O,data!$L:$L,$A23,data!$N:$N,Z$2),0)</f>
        <v>0</v>
      </c>
      <c r="AA23" s="19" t="n">
        <f aca="false">IFERROR(SUMIFS(data!$O:$O,data!$L:$L,$A23,data!$N:$N,AA$2),0)</f>
        <v>0</v>
      </c>
      <c r="AB23" s="18" t="n">
        <f aca="false">IFERROR(SUMIFS(data!$O:$O,data!$L:$L,$A23,data!$N:$N,AB$2),0)</f>
        <v>0</v>
      </c>
      <c r="AC23" s="19" t="n">
        <f aca="false">IFERROR(SUMIFS(data!$O:$O,data!$L:$L,$A23,data!$N:$N,AC$2),0)</f>
        <v>0</v>
      </c>
      <c r="AD23" s="18" t="n">
        <f aca="false">IFERROR(SUMIFS(data!$O:$O,data!$L:$L,$A23,data!$N:$N,AD$2),0)</f>
        <v>0</v>
      </c>
      <c r="AE23" s="19" t="n">
        <f aca="false">IFERROR(SUMIFS(data!$O:$O,data!$L:$L,$A23,data!$N:$N,AE$2),0)</f>
        <v>0</v>
      </c>
      <c r="AF23" s="18" t="n">
        <f aca="false">IFERROR(SUMIFS(data!$O:$O,data!$L:$L,$A23,data!$N:$N,AF$2),0)</f>
        <v>0</v>
      </c>
      <c r="AG23" s="19" t="n">
        <f aca="false">IFERROR(SUMIFS(data!$O:$O,data!$L:$L,$A23,data!$N:$N,AG$2),0)</f>
        <v>0</v>
      </c>
      <c r="AH23" s="18" t="n">
        <f aca="false">IFERROR(SUMIFS(data!$O:$O,data!$L:$L,$A23,data!$N:$N,AH$2),0)</f>
        <v>0</v>
      </c>
      <c r="AI23" s="18" t="n">
        <f aca="false">SUM(D23:AH23)</f>
        <v>0</v>
      </c>
      <c r="AK23" s="18"/>
    </row>
    <row r="24" customFormat="false" ht="14.25" hidden="false" customHeight="false" outlineLevel="0" collapsed="false">
      <c r="A24" s="0" t="s">
        <v>23</v>
      </c>
      <c r="B24" s="7"/>
      <c r="C24" s="17" t="s">
        <v>20</v>
      </c>
      <c r="D24" s="18" t="n">
        <f aca="false">IFERROR(SUMIFS(data!$O:$O,data!$R:$R,$A24,data!$N:$N,D$2),0)</f>
        <v>0</v>
      </c>
      <c r="E24" s="19" t="n">
        <f aca="false">IFERROR(SUMIFS(data!$O:$O,data!$R:$R,$A24,data!$N:$N,E$2),0)</f>
        <v>0</v>
      </c>
      <c r="F24" s="18" t="n">
        <f aca="false">IFERROR(SUMIFS(data!$O:$O,data!$R:$R,$A24,data!$N:$N,F$2),0)</f>
        <v>0</v>
      </c>
      <c r="G24" s="19" t="n">
        <f aca="false">IFERROR(SUMIFS(data!$O:$O,data!$R:$R,$A24,data!$N:$N,G$2),0)</f>
        <v>0</v>
      </c>
      <c r="H24" s="18" t="n">
        <f aca="false">IFERROR(SUMIFS(data!$O:$O,data!$R:$R,$A24,data!$N:$N,H$2),0)</f>
        <v>0</v>
      </c>
      <c r="I24" s="19" t="n">
        <f aca="false">IFERROR(SUMIFS(data!$O:$O,data!$R:$R,$A24,data!$N:$N,I$2),0)</f>
        <v>0</v>
      </c>
      <c r="J24" s="18" t="n">
        <f aca="false">IFERROR(SUMIFS(data!$O:$O,data!$R:$R,$A24,data!$N:$N,J$2),0)</f>
        <v>0</v>
      </c>
      <c r="K24" s="19" t="n">
        <f aca="false">IFERROR(SUMIFS(data!$O:$O,data!$R:$R,$A24,data!$N:$N,K$2),0)</f>
        <v>0</v>
      </c>
      <c r="L24" s="18" t="n">
        <f aca="false">IFERROR(SUMIFS(data!$O:$O,data!$R:$R,$A24,data!$N:$N,L$2),0)</f>
        <v>0</v>
      </c>
      <c r="M24" s="19" t="n">
        <f aca="false">IFERROR(SUMIFS(data!$O:$O,data!$R:$R,$A24,data!$N:$N,M$2),0)</f>
        <v>0</v>
      </c>
      <c r="N24" s="18" t="n">
        <f aca="false">IFERROR(SUMIFS(data!$O:$O,data!$R:$R,$A24,data!$N:$N,N$2),0)</f>
        <v>0</v>
      </c>
      <c r="O24" s="19" t="n">
        <f aca="false">IFERROR(SUMIFS(data!$O:$O,data!$R:$R,$A24,data!$N:$N,O$2),0)</f>
        <v>0</v>
      </c>
      <c r="P24" s="18" t="n">
        <f aca="false">IFERROR(SUMIFS(data!$O:$O,data!$R:$R,$A24,data!$N:$N,P$2),0)</f>
        <v>0</v>
      </c>
      <c r="Q24" s="19" t="n">
        <f aca="false">IFERROR(SUMIFS(data!$O:$O,data!$R:$R,$A24,data!$N:$N,Q$2),0)</f>
        <v>0</v>
      </c>
      <c r="R24" s="18" t="n">
        <f aca="false">IFERROR(SUMIFS(data!$O:$O,data!$R:$R,$A24,data!$N:$N,R$2),0)</f>
        <v>0</v>
      </c>
      <c r="S24" s="19" t="n">
        <f aca="false">IFERROR(SUMIFS(data!$O:$O,data!$R:$R,$A24,data!$N:$N,S$2),0)</f>
        <v>0</v>
      </c>
      <c r="T24" s="18" t="n">
        <f aca="false">IFERROR(SUMIFS(data!$O:$O,data!$R:$R,$A24,data!$N:$N,T$2),0)</f>
        <v>0</v>
      </c>
      <c r="U24" s="19" t="n">
        <f aca="false">IFERROR(SUMIFS(data!$O:$O,data!$R:$R,$A24,data!$N:$N,U$2),0)</f>
        <v>0</v>
      </c>
      <c r="V24" s="18" t="n">
        <f aca="false">IFERROR(SUMIFS(data!$O:$O,data!$R:$R,$A24,data!$N:$N,V$2),0)</f>
        <v>0</v>
      </c>
      <c r="W24" s="19" t="n">
        <f aca="false">IFERROR(SUMIFS(data!$O:$O,data!$R:$R,$A24,data!$N:$N,W$2),0)</f>
        <v>0</v>
      </c>
      <c r="X24" s="18" t="n">
        <f aca="false">IFERROR(SUMIFS(data!$O:$O,data!$R:$R,$A24,data!$N:$N,X$2),0)</f>
        <v>0</v>
      </c>
      <c r="Y24" s="19" t="n">
        <f aca="false">IFERROR(SUMIFS(data!$O:$O,data!$R:$R,$A24,data!$N:$N,Y$2),0)</f>
        <v>0</v>
      </c>
      <c r="Z24" s="18" t="n">
        <f aca="false">IFERROR(SUMIFS(data!$O:$O,data!$R:$R,$A24,data!$N:$N,Z$2),0)</f>
        <v>0</v>
      </c>
      <c r="AA24" s="19" t="n">
        <f aca="false">IFERROR(SUMIFS(data!$O:$O,data!$R:$R,$A24,data!$N:$N,AA$2),0)</f>
        <v>0</v>
      </c>
      <c r="AB24" s="18" t="n">
        <f aca="false">IFERROR(SUMIFS(data!$O:$O,data!$R:$R,$A24,data!$N:$N,AB$2),0)</f>
        <v>0</v>
      </c>
      <c r="AC24" s="19" t="n">
        <f aca="false">IFERROR(SUMIFS(data!$O:$O,data!$R:$R,$A24,data!$N:$N,AC$2),0)</f>
        <v>0</v>
      </c>
      <c r="AD24" s="18" t="n">
        <f aca="false">IFERROR(SUMIFS(data!$O:$O,data!$R:$R,$A24,data!$N:$N,AD$2),0)</f>
        <v>0</v>
      </c>
      <c r="AE24" s="19" t="n">
        <f aca="false">IFERROR(SUMIFS(data!$O:$O,data!$R:$R,$A24,data!$N:$N,AE$2),0)</f>
        <v>0</v>
      </c>
      <c r="AF24" s="18" t="n">
        <f aca="false">IFERROR(SUMIFS(data!$O:$O,data!$R:$R,$A24,data!$N:$N,AF$2),0)</f>
        <v>0</v>
      </c>
      <c r="AG24" s="19" t="n">
        <f aca="false">IFERROR(SUMIFS(data!$O:$O,data!$R:$R,$A24,data!$N:$N,AG$2),0)</f>
        <v>0</v>
      </c>
      <c r="AH24" s="18" t="n">
        <f aca="false">IFERROR(SUMIFS(data!$O:$O,data!$R:$R,$A24,data!$N:$N,AH$2),0)</f>
        <v>0</v>
      </c>
      <c r="AI24" s="18" t="n">
        <f aca="false">SUM(D24:AH24)</f>
        <v>0</v>
      </c>
      <c r="AK24" s="18"/>
    </row>
    <row r="25" customFormat="false" ht="14.25" hidden="false" customHeight="false" outlineLevel="0" collapsed="false">
      <c r="A25" s="0" t="s">
        <v>25</v>
      </c>
      <c r="B25" s="7"/>
      <c r="C25" s="14" t="s">
        <v>22</v>
      </c>
      <c r="D25" s="18" t="n">
        <f aca="false">IFERROR(SUMIFS(data!$O:$O,data!$R:$R,$A25,data!$N:$N,D$2),0)</f>
        <v>0</v>
      </c>
      <c r="E25" s="16" t="n">
        <f aca="false">IFERROR(SUMIFS(data!$O:$O,data!$R:$R,$A25,data!$N:$N,E$2),0)</f>
        <v>0</v>
      </c>
      <c r="F25" s="15" t="n">
        <f aca="false">IFERROR(SUMIFS(data!$O:$O,data!$R:$R,$A25,data!$N:$N,F$2),0)</f>
        <v>0</v>
      </c>
      <c r="G25" s="16" t="n">
        <f aca="false">IFERROR(SUMIFS(data!$O:$O,data!$R:$R,$A25,data!$N:$N,G$2),0)</f>
        <v>0</v>
      </c>
      <c r="H25" s="15" t="n">
        <f aca="false">IFERROR(SUMIFS(data!$O:$O,data!$R:$R,$A25,data!$N:$N,H$2),0)</f>
        <v>0</v>
      </c>
      <c r="I25" s="16" t="n">
        <f aca="false">IFERROR(SUMIFS(data!$O:$O,data!$R:$R,$A25,data!$N:$N,I$2),0)</f>
        <v>0</v>
      </c>
      <c r="J25" s="15" t="n">
        <f aca="false">IFERROR(SUMIFS(data!$O:$O,data!$R:$R,$A25,data!$N:$N,J$2),0)</f>
        <v>0</v>
      </c>
      <c r="K25" s="16" t="n">
        <f aca="false">IFERROR(SUMIFS(data!$O:$O,data!$R:$R,$A25,data!$N:$N,K$2),0)</f>
        <v>0</v>
      </c>
      <c r="L25" s="15" t="n">
        <f aca="false">IFERROR(SUMIFS(data!$O:$O,data!$R:$R,$A25,data!$N:$N,L$2),0)</f>
        <v>0</v>
      </c>
      <c r="M25" s="16" t="n">
        <f aca="false">IFERROR(SUMIFS(data!$O:$O,data!$R:$R,$A25,data!$N:$N,M$2),0)</f>
        <v>0</v>
      </c>
      <c r="N25" s="15" t="n">
        <f aca="false">IFERROR(SUMIFS(data!$O:$O,data!$R:$R,$A25,data!$N:$N,N$2),0)</f>
        <v>0</v>
      </c>
      <c r="O25" s="16" t="n">
        <f aca="false">IFERROR(SUMIFS(data!$O:$O,data!$R:$R,$A25,data!$N:$N,O$2),0)</f>
        <v>0</v>
      </c>
      <c r="P25" s="15" t="n">
        <f aca="false">IFERROR(SUMIFS(data!$O:$O,data!$R:$R,$A25,data!$N:$N,P$2),0)</f>
        <v>0</v>
      </c>
      <c r="Q25" s="16" t="n">
        <f aca="false">IFERROR(SUMIFS(data!$O:$O,data!$R:$R,$A25,data!$N:$N,Q$2),0)</f>
        <v>0</v>
      </c>
      <c r="R25" s="15" t="n">
        <f aca="false">IFERROR(SUMIFS(data!$O:$O,data!$R:$R,$A25,data!$N:$N,R$2),0)</f>
        <v>0</v>
      </c>
      <c r="S25" s="16" t="n">
        <f aca="false">IFERROR(SUMIFS(data!$O:$O,data!$R:$R,$A25,data!$N:$N,S$2),0)</f>
        <v>0</v>
      </c>
      <c r="T25" s="18" t="n">
        <f aca="false">IFERROR(SUMIFS(data!$O:$O,data!$R:$R,$A25,data!$N:$N,T$2),0)</f>
        <v>0</v>
      </c>
      <c r="U25" s="16" t="n">
        <f aca="false">IFERROR(SUMIFS(data!$O:$O,data!$R:$R,$A25,data!$N:$N,U$2),0)</f>
        <v>0</v>
      </c>
      <c r="V25" s="15" t="n">
        <f aca="false">IFERROR(SUMIFS(data!$O:$O,data!$R:$R,$A25,data!$N:$N,V$2),0)</f>
        <v>0</v>
      </c>
      <c r="W25" s="16" t="n">
        <f aca="false">IFERROR(SUMIFS(data!$O:$O,data!$R:$R,$A25,data!$N:$N,W$2),0)</f>
        <v>0</v>
      </c>
      <c r="X25" s="15" t="n">
        <f aca="false">IFERROR(SUMIFS(data!$O:$O,data!$R:$R,$A25,data!$N:$N,X$2),0)</f>
        <v>0</v>
      </c>
      <c r="Y25" s="16" t="n">
        <f aca="false">IFERROR(SUMIFS(data!$O:$O,data!$R:$R,$A25,data!$N:$N,Y$2),0)</f>
        <v>0</v>
      </c>
      <c r="Z25" s="15" t="n">
        <f aca="false">IFERROR(SUMIFS(data!$O:$O,data!$R:$R,$A25,data!$N:$N,Z$2),0)</f>
        <v>0</v>
      </c>
      <c r="AA25" s="16" t="n">
        <f aca="false">IFERROR(SUMIFS(data!$O:$O,data!$R:$R,$A25,data!$N:$N,AA$2),0)</f>
        <v>0</v>
      </c>
      <c r="AB25" s="15" t="n">
        <f aca="false">IFERROR(SUMIFS(data!$O:$O,data!$R:$R,$A25,data!$N:$N,AB$2),0)</f>
        <v>0</v>
      </c>
      <c r="AC25" s="16" t="n">
        <f aca="false">IFERROR(SUMIFS(data!$O:$O,data!$R:$R,$A25,data!$N:$N,AC$2),0)</f>
        <v>0</v>
      </c>
      <c r="AD25" s="15" t="n">
        <f aca="false">IFERROR(SUMIFS(data!$O:$O,data!$R:$R,$A25,data!$N:$N,AD$2),0)</f>
        <v>0</v>
      </c>
      <c r="AE25" s="16" t="n">
        <f aca="false">IFERROR(SUMIFS(data!$O:$O,data!$R:$R,$A25,data!$N:$N,AE$2),0)</f>
        <v>0</v>
      </c>
      <c r="AF25" s="15" t="n">
        <f aca="false">IFERROR(SUMIFS(data!$O:$O,data!$R:$R,$A25,data!$N:$N,AF$2),0)</f>
        <v>0</v>
      </c>
      <c r="AG25" s="16" t="n">
        <f aca="false">IFERROR(SUMIFS(data!$O:$O,data!$R:$R,$A25,data!$N:$N,AG$2),0)</f>
        <v>0</v>
      </c>
      <c r="AH25" s="15" t="n">
        <f aca="false">IFERROR(SUMIFS(data!$O:$O,data!$R:$R,$A25,data!$N:$N,AH$2),0)</f>
        <v>0</v>
      </c>
      <c r="AI25" s="15" t="n">
        <f aca="false">SUM(D25:AH25)</f>
        <v>0</v>
      </c>
      <c r="AK25" s="15"/>
    </row>
    <row r="26" customFormat="false" ht="14.25" hidden="false" customHeight="false" outlineLevel="0" collapsed="false">
      <c r="A26" s="0" t="s">
        <v>25</v>
      </c>
      <c r="B26" s="7"/>
      <c r="C26" s="14" t="s">
        <v>24</v>
      </c>
      <c r="D26" s="18" t="n">
        <f aca="false">IFERROR(SUMIFS(data!$O:$O,data!$R:$R,$A26,data!$N:$N,D$2),0)</f>
        <v>0</v>
      </c>
      <c r="E26" s="16" t="n">
        <f aca="false">IFERROR(SUMIFS(data!$O:$O,data!$R:$R,$A26,data!$N:$N,E$2),0)</f>
        <v>0</v>
      </c>
      <c r="F26" s="15" t="n">
        <f aca="false">IFERROR(SUMIFS(data!$O:$O,data!$R:$R,$A26,data!$N:$N,F$2),0)</f>
        <v>0</v>
      </c>
      <c r="G26" s="16" t="n">
        <f aca="false">IFERROR(SUMIFS(data!$O:$O,data!$R:$R,$A26,data!$N:$N,G$2),0)</f>
        <v>0</v>
      </c>
      <c r="H26" s="15" t="n">
        <f aca="false">IFERROR(SUMIFS(data!$O:$O,data!$R:$R,$A26,data!$N:$N,H$2),0)</f>
        <v>0</v>
      </c>
      <c r="I26" s="16" t="n">
        <f aca="false">IFERROR(SUMIFS(data!$O:$O,data!$R:$R,$A26,data!$N:$N,I$2),0)</f>
        <v>0</v>
      </c>
      <c r="J26" s="15" t="n">
        <f aca="false">IFERROR(SUMIFS(data!$O:$O,data!$R:$R,$A26,data!$N:$N,J$2),0)</f>
        <v>0</v>
      </c>
      <c r="K26" s="16" t="n">
        <f aca="false">IFERROR(SUMIFS(data!$O:$O,data!$R:$R,$A26,data!$N:$N,K$2),0)</f>
        <v>0</v>
      </c>
      <c r="L26" s="15" t="n">
        <f aca="false">IFERROR(SUMIFS(data!$O:$O,data!$R:$R,$A26,data!$N:$N,L$2),0)</f>
        <v>0</v>
      </c>
      <c r="M26" s="16" t="n">
        <f aca="false">IFERROR(SUMIFS(data!$O:$O,data!$R:$R,$A26,data!$N:$N,M$2),0)</f>
        <v>0</v>
      </c>
      <c r="N26" s="15" t="n">
        <f aca="false">IFERROR(SUMIFS(data!$O:$O,data!$R:$R,$A26,data!$N:$N,N$2),0)</f>
        <v>0</v>
      </c>
      <c r="O26" s="16" t="n">
        <f aca="false">IFERROR(SUMIFS(data!$O:$O,data!$R:$R,$A26,data!$N:$N,O$2),0)</f>
        <v>0</v>
      </c>
      <c r="P26" s="15" t="n">
        <f aca="false">IFERROR(SUMIFS(data!$O:$O,data!$R:$R,$A26,data!$N:$N,P$2),0)</f>
        <v>0</v>
      </c>
      <c r="Q26" s="16" t="n">
        <f aca="false">IFERROR(SUMIFS(data!$O:$O,data!$R:$R,$A26,data!$N:$N,Q$2),0)</f>
        <v>0</v>
      </c>
      <c r="R26" s="15" t="n">
        <f aca="false">IFERROR(SUMIFS(data!$O:$O,data!$R:$R,$A26,data!$N:$N,R$2),0)</f>
        <v>0</v>
      </c>
      <c r="S26" s="16" t="n">
        <f aca="false">IFERROR(SUMIFS(data!$O:$O,data!$R:$R,$A26,data!$N:$N,S$2),0)</f>
        <v>0</v>
      </c>
      <c r="T26" s="18" t="n">
        <f aca="false">IFERROR(SUMIFS(data!$O:$O,data!$R:$R,$A26,data!$N:$N,T$2),0)</f>
        <v>0</v>
      </c>
      <c r="U26" s="16" t="n">
        <f aca="false">IFERROR(SUMIFS(data!$O:$O,data!$R:$R,$A26,data!$N:$N,U$2),0)</f>
        <v>0</v>
      </c>
      <c r="V26" s="15" t="n">
        <f aca="false">IFERROR(SUMIFS(data!$O:$O,data!$R:$R,$A26,data!$N:$N,V$2),0)</f>
        <v>0</v>
      </c>
      <c r="W26" s="16" t="n">
        <f aca="false">IFERROR(SUMIFS(data!$O:$O,data!$R:$R,$A26,data!$N:$N,W$2),0)</f>
        <v>0</v>
      </c>
      <c r="X26" s="15" t="n">
        <f aca="false">IFERROR(SUMIFS(data!$O:$O,data!$R:$R,$A26,data!$N:$N,X$2),0)</f>
        <v>0</v>
      </c>
      <c r="Y26" s="16" t="n">
        <f aca="false">IFERROR(SUMIFS(data!$O:$O,data!$R:$R,$A26,data!$N:$N,Y$2),0)</f>
        <v>0</v>
      </c>
      <c r="Z26" s="15" t="n">
        <f aca="false">IFERROR(SUMIFS(data!$O:$O,data!$R:$R,$A26,data!$N:$N,Z$2),0)</f>
        <v>0</v>
      </c>
      <c r="AA26" s="16" t="n">
        <f aca="false">IFERROR(SUMIFS(data!$O:$O,data!$R:$R,$A26,data!$N:$N,AA$2),0)</f>
        <v>0</v>
      </c>
      <c r="AB26" s="15" t="n">
        <f aca="false">IFERROR(SUMIFS(data!$O:$O,data!$R:$R,$A26,data!$N:$N,AB$2),0)</f>
        <v>0</v>
      </c>
      <c r="AC26" s="16" t="n">
        <f aca="false">IFERROR(SUMIFS(data!$O:$O,data!$R:$R,$A26,data!$N:$N,AC$2),0)</f>
        <v>0</v>
      </c>
      <c r="AD26" s="15" t="n">
        <f aca="false">IFERROR(SUMIFS(data!$O:$O,data!$R:$R,$A26,data!$N:$N,AD$2),0)</f>
        <v>0</v>
      </c>
      <c r="AE26" s="16" t="n">
        <f aca="false">IFERROR(SUMIFS(data!$O:$O,data!$R:$R,$A26,data!$N:$N,AE$2),0)</f>
        <v>0</v>
      </c>
      <c r="AF26" s="15" t="n">
        <f aca="false">IFERROR(SUMIFS(data!$O:$O,data!$R:$R,$A26,data!$N:$N,AF$2),0)</f>
        <v>0</v>
      </c>
      <c r="AG26" s="16" t="n">
        <f aca="false">IFERROR(SUMIFS(data!$O:$O,data!$R:$R,$A26,data!$N:$N,AG$2),0)</f>
        <v>0</v>
      </c>
      <c r="AH26" s="15" t="n">
        <f aca="false">IFERROR(SUMIFS(data!$O:$O,data!$R:$R,$A26,data!$N:$N,AH$2),0)</f>
        <v>0</v>
      </c>
      <c r="AI26" s="15" t="n">
        <f aca="false">SUM(D26:AH26)</f>
        <v>0</v>
      </c>
      <c r="AK26" s="15"/>
    </row>
    <row r="27" customFormat="false" ht="14.25" hidden="false" customHeight="false" outlineLevel="0" collapsed="false">
      <c r="A27" s="0" t="s">
        <v>25</v>
      </c>
      <c r="B27" s="7"/>
      <c r="C27" s="14" t="s">
        <v>26</v>
      </c>
      <c r="D27" s="18" t="n">
        <f aca="false">IFERROR(SUMIFS(data!$O:$O,data!$R:$R,$A27,data!$N:$N,D$2),0)</f>
        <v>0</v>
      </c>
      <c r="E27" s="16" t="n">
        <f aca="false">IFERROR(SUMIFS(data!$O:$O,data!$R:$R,$A27,data!$N:$N,E$2),0)</f>
        <v>0</v>
      </c>
      <c r="F27" s="15" t="n">
        <f aca="false">IFERROR(SUMIFS(data!$O:$O,data!$R:$R,$A27,data!$N:$N,F$2),0)</f>
        <v>0</v>
      </c>
      <c r="G27" s="16" t="n">
        <f aca="false">IFERROR(SUMIFS(data!$O:$O,data!$R:$R,$A27,data!$N:$N,G$2),0)</f>
        <v>0</v>
      </c>
      <c r="H27" s="15" t="n">
        <f aca="false">IFERROR(SUMIFS(data!$O:$O,data!$R:$R,$A27,data!$N:$N,H$2),0)</f>
        <v>0</v>
      </c>
      <c r="I27" s="16" t="n">
        <f aca="false">IFERROR(SUMIFS(data!$O:$O,data!$R:$R,$A27,data!$N:$N,I$2),0)</f>
        <v>0</v>
      </c>
      <c r="J27" s="15" t="n">
        <f aca="false">IFERROR(SUMIFS(data!$O:$O,data!$R:$R,$A27,data!$N:$N,J$2),0)</f>
        <v>0</v>
      </c>
      <c r="K27" s="16" t="n">
        <f aca="false">IFERROR(SUMIFS(data!$O:$O,data!$R:$R,$A27,data!$N:$N,K$2),0)</f>
        <v>0</v>
      </c>
      <c r="L27" s="15" t="n">
        <f aca="false">IFERROR(SUMIFS(data!$O:$O,data!$R:$R,$A27,data!$N:$N,L$2),0)</f>
        <v>0</v>
      </c>
      <c r="M27" s="16" t="n">
        <f aca="false">IFERROR(SUMIFS(data!$O:$O,data!$R:$R,$A27,data!$N:$N,M$2),0)</f>
        <v>0</v>
      </c>
      <c r="N27" s="15" t="n">
        <f aca="false">IFERROR(SUMIFS(data!$O:$O,data!$R:$R,$A27,data!$N:$N,N$2),0)</f>
        <v>0</v>
      </c>
      <c r="O27" s="16" t="n">
        <f aca="false">IFERROR(SUMIFS(data!$O:$O,data!$R:$R,$A27,data!$N:$N,O$2),0)</f>
        <v>0</v>
      </c>
      <c r="P27" s="15" t="n">
        <f aca="false">IFERROR(SUMIFS(data!$O:$O,data!$R:$R,$A27,data!$N:$N,P$2),0)</f>
        <v>0</v>
      </c>
      <c r="Q27" s="16" t="n">
        <f aca="false">IFERROR(SUMIFS(data!$O:$O,data!$R:$R,$A27,data!$N:$N,Q$2),0)</f>
        <v>0</v>
      </c>
      <c r="R27" s="15" t="n">
        <f aca="false">IFERROR(SUMIFS(data!$O:$O,data!$R:$R,$A27,data!$N:$N,R$2),0)</f>
        <v>0</v>
      </c>
      <c r="S27" s="16" t="n">
        <f aca="false">IFERROR(SUMIFS(data!$O:$O,data!$R:$R,$A27,data!$N:$N,S$2),0)</f>
        <v>0</v>
      </c>
      <c r="T27" s="18" t="n">
        <f aca="false">IFERROR(SUMIFS(data!$O:$O,data!$R:$R,$A27,data!$N:$N,T$2),0)</f>
        <v>0</v>
      </c>
      <c r="U27" s="16" t="n">
        <f aca="false">IFERROR(SUMIFS(data!$O:$O,data!$R:$R,$A27,data!$N:$N,U$2),0)</f>
        <v>0</v>
      </c>
      <c r="V27" s="15" t="n">
        <f aca="false">IFERROR(SUMIFS(data!$O:$O,data!$R:$R,$A27,data!$N:$N,V$2),0)</f>
        <v>0</v>
      </c>
      <c r="W27" s="16" t="n">
        <f aca="false">IFERROR(SUMIFS(data!$O:$O,data!$R:$R,$A27,data!$N:$N,W$2),0)</f>
        <v>0</v>
      </c>
      <c r="X27" s="15" t="n">
        <f aca="false">IFERROR(SUMIFS(data!$O:$O,data!$R:$R,$A27,data!$N:$N,X$2),0)</f>
        <v>0</v>
      </c>
      <c r="Y27" s="16" t="n">
        <f aca="false">IFERROR(SUMIFS(data!$O:$O,data!$R:$R,$A27,data!$N:$N,Y$2),0)</f>
        <v>0</v>
      </c>
      <c r="Z27" s="15" t="n">
        <f aca="false">IFERROR(SUMIFS(data!$O:$O,data!$R:$R,$A27,data!$N:$N,Z$2),0)</f>
        <v>0</v>
      </c>
      <c r="AA27" s="16" t="n">
        <f aca="false">IFERROR(SUMIFS(data!$O:$O,data!$R:$R,$A27,data!$N:$N,AA$2),0)</f>
        <v>0</v>
      </c>
      <c r="AB27" s="15" t="n">
        <f aca="false">IFERROR(SUMIFS(data!$O:$O,data!$R:$R,$A27,data!$N:$N,AB$2),0)</f>
        <v>0</v>
      </c>
      <c r="AC27" s="16" t="n">
        <f aca="false">IFERROR(SUMIFS(data!$O:$O,data!$R:$R,$A27,data!$N:$N,AC$2),0)</f>
        <v>0</v>
      </c>
      <c r="AD27" s="15" t="n">
        <f aca="false">IFERROR(SUMIFS(data!$O:$O,data!$R:$R,$A27,data!$N:$N,AD$2),0)</f>
        <v>0</v>
      </c>
      <c r="AE27" s="16" t="n">
        <f aca="false">IFERROR(SUMIFS(data!$O:$O,data!$R:$R,$A27,data!$N:$N,AE$2),0)</f>
        <v>0</v>
      </c>
      <c r="AF27" s="15" t="n">
        <f aca="false">IFERROR(SUMIFS(data!$O:$O,data!$R:$R,$A27,data!$N:$N,AF$2),0)</f>
        <v>0</v>
      </c>
      <c r="AG27" s="16" t="n">
        <f aca="false">IFERROR(SUMIFS(data!$O:$O,data!$R:$R,$A27,data!$N:$N,AG$2),0)</f>
        <v>0</v>
      </c>
      <c r="AH27" s="15" t="n">
        <f aca="false">IFERROR(SUMIFS(data!$O:$O,data!$R:$R,$A27,data!$N:$N,AH$2),0)</f>
        <v>0</v>
      </c>
      <c r="AI27" s="15" t="n">
        <f aca="false">SUM(D27:AH27)</f>
        <v>0</v>
      </c>
      <c r="AK27" s="15"/>
    </row>
    <row r="28" customFormat="false" ht="30" hidden="false" customHeight="true" outlineLevel="0" collapsed="false">
      <c r="A28" s="6"/>
      <c r="B28" s="7"/>
      <c r="C28" s="28" t="s">
        <v>29</v>
      </c>
      <c r="D28" s="29" t="n">
        <f aca="false">SUM(D19,D20,D25,D26,D27)</f>
        <v>0</v>
      </c>
      <c r="E28" s="29" t="n">
        <f aca="false">SUM(E19,E20,E25,E26,E27)</f>
        <v>0</v>
      </c>
      <c r="F28" s="29" t="n">
        <f aca="false">SUM(F19,F20,F25,F26,F27)</f>
        <v>0</v>
      </c>
      <c r="G28" s="29" t="n">
        <f aca="false">SUM(G19,G20,G25,G26,G27)</f>
        <v>0</v>
      </c>
      <c r="H28" s="29" t="n">
        <f aca="false">SUM(H19,H20,H25,H26,H27)</f>
        <v>0</v>
      </c>
      <c r="I28" s="29" t="n">
        <f aca="false">SUM(I19,I20,I25,I26,I27)</f>
        <v>0</v>
      </c>
      <c r="J28" s="29" t="n">
        <f aca="false">SUM(J19,J20,J25,J26,J27)</f>
        <v>0</v>
      </c>
      <c r="K28" s="29" t="n">
        <f aca="false">SUM(K19,K20,K25,K26,K27)</f>
        <v>0</v>
      </c>
      <c r="L28" s="29" t="n">
        <f aca="false">SUM(L19,L20,L25,L26,L27)</f>
        <v>0</v>
      </c>
      <c r="M28" s="29" t="n">
        <f aca="false">SUM(M19,M20,M25,M26,M27)</f>
        <v>0</v>
      </c>
      <c r="N28" s="29" t="n">
        <f aca="false">SUM(N19,N20,N25,N26,N27)</f>
        <v>0</v>
      </c>
      <c r="O28" s="29" t="n">
        <f aca="false">SUM(O19,O20,O25,O26,O27)</f>
        <v>0</v>
      </c>
      <c r="P28" s="29" t="n">
        <f aca="false">SUM(P19,P20,P25,P26,P27)</f>
        <v>0</v>
      </c>
      <c r="Q28" s="29" t="n">
        <f aca="false">SUM(Q19,Q20,Q25,Q26,Q27)</f>
        <v>0</v>
      </c>
      <c r="R28" s="29" t="n">
        <f aca="false">SUM(R19,R20,R25,R26,R27)</f>
        <v>0</v>
      </c>
      <c r="S28" s="29" t="n">
        <f aca="false">SUM(S19,S20,S25,S26,S27)</f>
        <v>0</v>
      </c>
      <c r="T28" s="29" t="n">
        <f aca="false">SUM(T19,T20,T25,T26,T27)</f>
        <v>0</v>
      </c>
      <c r="U28" s="29" t="n">
        <f aca="false">SUM(U19,U20,U25,U26,U27)</f>
        <v>0</v>
      </c>
      <c r="V28" s="29" t="n">
        <f aca="false">SUM(V19,V20,V25,V26,V27)</f>
        <v>0</v>
      </c>
      <c r="W28" s="29" t="n">
        <f aca="false">SUM(W19,W20,W25,W26,W27)</f>
        <v>0</v>
      </c>
      <c r="X28" s="29" t="n">
        <f aca="false">SUM(X19,X20,X25,X26,X27)</f>
        <v>0</v>
      </c>
      <c r="Y28" s="29" t="n">
        <f aca="false">SUM(Y19,Y20,Y25,Y26,Y27)</f>
        <v>0</v>
      </c>
      <c r="Z28" s="29" t="n">
        <f aca="false">SUM(Z19,Z20,Z25,Z26,Z27)</f>
        <v>0</v>
      </c>
      <c r="AA28" s="29" t="n">
        <f aca="false">SUM(AA19,AA20,AA25,AA26,AA27)</f>
        <v>0</v>
      </c>
      <c r="AB28" s="29" t="n">
        <f aca="false">SUM(AB19,AB20,AB25,AB26,AB27)</f>
        <v>0</v>
      </c>
      <c r="AC28" s="29" t="n">
        <f aca="false">SUM(AC19,AC20,AC25,AC26,AC27)</f>
        <v>0</v>
      </c>
      <c r="AD28" s="29" t="n">
        <f aca="false">SUM(AD19,AD20,AD25,AD26,AD27)</f>
        <v>0</v>
      </c>
      <c r="AE28" s="29" t="n">
        <f aca="false">SUM(AE19,AE20,AE25,AE26,AE27)</f>
        <v>0</v>
      </c>
      <c r="AF28" s="29" t="n">
        <f aca="false">SUM(AF19,AF20,AF25,AF26,AF27)</f>
        <v>0</v>
      </c>
      <c r="AG28" s="29" t="n">
        <f aca="false">SUM(AG19,AG20,AG25,AG26,AG27)</f>
        <v>0</v>
      </c>
      <c r="AH28" s="29" t="n">
        <f aca="false">SUM(AH19,AH20,AH25,AH26,AH27)</f>
        <v>0</v>
      </c>
      <c r="AI28" s="29" t="n">
        <f aca="false">SUM(D28:AH28)</f>
        <v>0</v>
      </c>
      <c r="AJ28" s="6"/>
      <c r="AK28" s="29"/>
      <c r="AL28" s="30"/>
    </row>
    <row r="29" customFormat="false" ht="14.25" hidden="false" customHeight="false" outlineLevel="0" collapsed="false">
      <c r="A29" s="1"/>
      <c r="B29" s="7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3"/>
      <c r="AJ29" s="24"/>
      <c r="AK29" s="23"/>
      <c r="AL29" s="1"/>
    </row>
    <row r="30" customFormat="false" ht="30" hidden="false" customHeight="true" outlineLevel="0" collapsed="false">
      <c r="A30" s="6"/>
      <c r="B30" s="7"/>
      <c r="C30" s="31" t="s">
        <v>30</v>
      </c>
      <c r="D30" s="32" t="n">
        <f aca="false">D16+D28</f>
        <v>0</v>
      </c>
      <c r="E30" s="32" t="n">
        <f aca="false">E16+E28</f>
        <v>0</v>
      </c>
      <c r="F30" s="32" t="n">
        <f aca="false">F16+F28</f>
        <v>0</v>
      </c>
      <c r="G30" s="32" t="n">
        <f aca="false">G16+G28</f>
        <v>0</v>
      </c>
      <c r="H30" s="32" t="n">
        <f aca="false">H16+H28</f>
        <v>0</v>
      </c>
      <c r="I30" s="32" t="n">
        <f aca="false">I16+I28</f>
        <v>0</v>
      </c>
      <c r="J30" s="32" t="n">
        <f aca="false">J16+J28</f>
        <v>0</v>
      </c>
      <c r="K30" s="32" t="n">
        <f aca="false">K16+K28</f>
        <v>0</v>
      </c>
      <c r="L30" s="32" t="n">
        <f aca="false">L16+L28</f>
        <v>0</v>
      </c>
      <c r="M30" s="32" t="n">
        <f aca="false">M16+M28</f>
        <v>0</v>
      </c>
      <c r="N30" s="32" t="n">
        <f aca="false">N16+N28</f>
        <v>0</v>
      </c>
      <c r="O30" s="32" t="n">
        <f aca="false">O16+O28</f>
        <v>0</v>
      </c>
      <c r="P30" s="32" t="n">
        <f aca="false">P16+P28</f>
        <v>0</v>
      </c>
      <c r="Q30" s="32" t="n">
        <f aca="false">Q16+Q28</f>
        <v>0</v>
      </c>
      <c r="R30" s="32" t="n">
        <f aca="false">R16+R28</f>
        <v>0</v>
      </c>
      <c r="S30" s="32" t="n">
        <f aca="false">S16+S28</f>
        <v>0</v>
      </c>
      <c r="T30" s="32" t="n">
        <f aca="false">T16+T28</f>
        <v>0</v>
      </c>
      <c r="U30" s="32" t="n">
        <f aca="false">U16+U28</f>
        <v>0</v>
      </c>
      <c r="V30" s="32" t="n">
        <f aca="false">V16+V28</f>
        <v>0</v>
      </c>
      <c r="W30" s="32" t="n">
        <f aca="false">W16+W28</f>
        <v>0</v>
      </c>
      <c r="X30" s="32" t="n">
        <f aca="false">X16+X28</f>
        <v>0</v>
      </c>
      <c r="Y30" s="32" t="n">
        <f aca="false">Y16+Y28</f>
        <v>0</v>
      </c>
      <c r="Z30" s="32" t="n">
        <f aca="false">Z16+Z28</f>
        <v>0</v>
      </c>
      <c r="AA30" s="32" t="n">
        <f aca="false">AA16+AA28</f>
        <v>0</v>
      </c>
      <c r="AB30" s="32" t="n">
        <f aca="false">AB16+AB28</f>
        <v>0</v>
      </c>
      <c r="AC30" s="32" t="n">
        <f aca="false">AC16+AC28</f>
        <v>0</v>
      </c>
      <c r="AD30" s="32" t="n">
        <f aca="false">AD16+AD28</f>
        <v>0</v>
      </c>
      <c r="AE30" s="32" t="n">
        <f aca="false">AE16+AE28</f>
        <v>0</v>
      </c>
      <c r="AF30" s="32" t="n">
        <f aca="false">AF16+AF28</f>
        <v>0</v>
      </c>
      <c r="AG30" s="32" t="n">
        <f aca="false">AG16+AG28</f>
        <v>0</v>
      </c>
      <c r="AH30" s="32" t="n">
        <f aca="false">AH16+AH28</f>
        <v>0</v>
      </c>
      <c r="AI30" s="32" t="n">
        <f aca="false">AI16+AI28</f>
        <v>0</v>
      </c>
      <c r="AJ30" s="6"/>
      <c r="AK30" s="32" t="n">
        <v>0</v>
      </c>
      <c r="AL30" s="30"/>
    </row>
    <row r="31" customFormat="false" ht="14.25" hidden="false" customHeight="false" outlineLevel="0" collapsed="false">
      <c r="A31" s="1"/>
      <c r="B31" s="7"/>
      <c r="C31" s="33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1"/>
      <c r="AK31" s="34"/>
      <c r="AL31" s="30"/>
    </row>
    <row r="32" customFormat="false" ht="30" hidden="false" customHeight="true" outlineLevel="0" collapsed="false">
      <c r="A32" s="6"/>
      <c r="B32" s="7"/>
      <c r="C32" s="35" t="s">
        <v>31</v>
      </c>
      <c r="D32" s="32" t="n">
        <f aca="false">D5+D30</f>
        <v>0</v>
      </c>
      <c r="E32" s="32" t="n">
        <f aca="false">D32+E30</f>
        <v>0</v>
      </c>
      <c r="F32" s="32" t="n">
        <f aca="false">E32+F30</f>
        <v>0</v>
      </c>
      <c r="G32" s="32" t="n">
        <f aca="false">F32+G30</f>
        <v>0</v>
      </c>
      <c r="H32" s="32" t="n">
        <f aca="false">G32+H30</f>
        <v>0</v>
      </c>
      <c r="I32" s="32" t="n">
        <f aca="false">H32+I30</f>
        <v>0</v>
      </c>
      <c r="J32" s="32" t="n">
        <f aca="false">I32+J30</f>
        <v>0</v>
      </c>
      <c r="K32" s="32" t="n">
        <f aca="false">J32+K30</f>
        <v>0</v>
      </c>
      <c r="L32" s="32" t="n">
        <f aca="false">K32+L30</f>
        <v>0</v>
      </c>
      <c r="M32" s="32" t="n">
        <f aca="false">L32+M30</f>
        <v>0</v>
      </c>
      <c r="N32" s="32" t="n">
        <f aca="false">M32+N30</f>
        <v>0</v>
      </c>
      <c r="O32" s="32" t="n">
        <f aca="false">N32+O30</f>
        <v>0</v>
      </c>
      <c r="P32" s="32" t="n">
        <f aca="false">O32+P30</f>
        <v>0</v>
      </c>
      <c r="Q32" s="32" t="n">
        <f aca="false">P32+Q30</f>
        <v>0</v>
      </c>
      <c r="R32" s="32" t="n">
        <f aca="false">Q32+R30</f>
        <v>0</v>
      </c>
      <c r="S32" s="32" t="n">
        <f aca="false">R32+S30</f>
        <v>0</v>
      </c>
      <c r="T32" s="32" t="n">
        <f aca="false">S32+T30</f>
        <v>0</v>
      </c>
      <c r="U32" s="32" t="n">
        <f aca="false">T32+U30</f>
        <v>0</v>
      </c>
      <c r="V32" s="32" t="n">
        <f aca="false">U32+V30</f>
        <v>0</v>
      </c>
      <c r="W32" s="32" t="n">
        <f aca="false">V32+W30</f>
        <v>0</v>
      </c>
      <c r="X32" s="32" t="n">
        <f aca="false">W32+X30</f>
        <v>0</v>
      </c>
      <c r="Y32" s="32" t="n">
        <f aca="false">X32+Y30</f>
        <v>0</v>
      </c>
      <c r="Z32" s="32" t="n">
        <f aca="false">Y32+Z30</f>
        <v>0</v>
      </c>
      <c r="AA32" s="32" t="n">
        <f aca="false">Z32+AA30</f>
        <v>0</v>
      </c>
      <c r="AB32" s="32" t="n">
        <f aca="false">AA32+AB30</f>
        <v>0</v>
      </c>
      <c r="AC32" s="32" t="n">
        <f aca="false">AB32+AC30</f>
        <v>0</v>
      </c>
      <c r="AD32" s="32" t="n">
        <f aca="false">AC32+AD30</f>
        <v>0</v>
      </c>
      <c r="AE32" s="32" t="n">
        <f aca="false">AD32+AE30</f>
        <v>0</v>
      </c>
      <c r="AF32" s="32" t="n">
        <f aca="false">AE32+AF30</f>
        <v>0</v>
      </c>
      <c r="AG32" s="32" t="n">
        <f aca="false">AF32+AG30</f>
        <v>0</v>
      </c>
      <c r="AH32" s="32" t="n">
        <f aca="false">AG32+AH30</f>
        <v>0</v>
      </c>
      <c r="AI32" s="32" t="n">
        <f aca="false">AH32</f>
        <v>0</v>
      </c>
      <c r="AJ32" s="6"/>
      <c r="AK32" s="32" t="n">
        <f aca="false">AK30</f>
        <v>0</v>
      </c>
      <c r="AL32" s="30" t="n">
        <f aca="false">AK32-AI32</f>
        <v>0</v>
      </c>
    </row>
    <row r="33" customFormat="false" ht="24.75" hidden="false" customHeight="true" outlineLevel="0" collapsed="false">
      <c r="AL33" s="36"/>
    </row>
  </sheetData>
  <mergeCells count="3">
    <mergeCell ref="AI2:AI3"/>
    <mergeCell ref="AK2:AK3"/>
    <mergeCell ref="B5:B32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D1:R5"/>
  <sheetViews>
    <sheetView showFormulas="false" showGridLines="true" showRowColHeaders="true" showZeros="true" rightToLeft="false" tabSelected="true" showOutlineSymbols="true" defaultGridColor="true" view="normal" topLeftCell="A1" colorId="64" zoomScale="95" zoomScaleNormal="95" zoomScalePageLayoutView="100" workbookViewId="0">
      <selection pane="topLeft" activeCell="E2" activeCellId="0" sqref="E2"/>
    </sheetView>
  </sheetViews>
  <sheetFormatPr defaultColWidth="8.54296875" defaultRowHeight="12.8" customHeight="true" zeroHeight="false" outlineLevelRow="0" outlineLevelCol="0"/>
  <cols>
    <col collapsed="false" customWidth="true" hidden="false" outlineLevel="0" max="4" min="4" style="37" width="12.45"/>
    <col collapsed="false" customWidth="true" hidden="false" outlineLevel="0" max="5" min="5" style="0" width="18.73"/>
    <col collapsed="false" customWidth="true" hidden="false" outlineLevel="0" max="6" min="6" style="0" width="16"/>
    <col collapsed="false" customWidth="true" hidden="false" outlineLevel="0" max="7" min="7" style="0" width="24.73"/>
    <col collapsed="false" customWidth="true" hidden="false" outlineLevel="0" max="9" min="9" style="0" width="9.18"/>
    <col collapsed="false" customWidth="true" hidden="false" outlineLevel="0" max="10" min="10" style="0" width="19.09"/>
    <col collapsed="false" customWidth="true" hidden="false" outlineLevel="0" max="12" min="12" style="37" width="14.45"/>
    <col collapsed="false" customWidth="true" hidden="false" outlineLevel="0" max="13" min="13" style="0" width="19.45"/>
    <col collapsed="false" customWidth="true" hidden="false" outlineLevel="0" max="14" min="14" style="0" width="15.91"/>
    <col collapsed="false" customWidth="true" hidden="false" outlineLevel="0" max="15" min="15" style="0" width="24.73"/>
    <col collapsed="false" customWidth="true" hidden="false" outlineLevel="0" max="17" min="17" style="0" width="25.09"/>
    <col collapsed="false" customWidth="true" hidden="false" outlineLevel="0" max="18" min="18" style="0" width="9"/>
    <col collapsed="false" customWidth="true" hidden="false" outlineLevel="0" max="19" min="19" style="0" width="16.54"/>
  </cols>
  <sheetData>
    <row r="1" customFormat="false" ht="14.25" hidden="false" customHeight="false" outlineLevel="0" collapsed="false">
      <c r="D1" s="38" t="s">
        <v>32</v>
      </c>
      <c r="E1" s="39" t="s">
        <v>33</v>
      </c>
      <c r="F1" s="39" t="s">
        <v>34</v>
      </c>
      <c r="G1" s="40" t="s">
        <v>35</v>
      </c>
      <c r="H1" s="39" t="s">
        <v>36</v>
      </c>
      <c r="I1" s="39" t="s">
        <v>37</v>
      </c>
      <c r="J1" s="39" t="s">
        <v>38</v>
      </c>
      <c r="L1" s="41" t="s">
        <v>32</v>
      </c>
      <c r="M1" s="42" t="s">
        <v>33</v>
      </c>
      <c r="N1" s="42" t="s">
        <v>34</v>
      </c>
      <c r="O1" s="43" t="s">
        <v>35</v>
      </c>
      <c r="P1" s="42" t="s">
        <v>36</v>
      </c>
      <c r="Q1" s="42" t="s">
        <v>37</v>
      </c>
      <c r="R1" s="44" t="s">
        <v>39</v>
      </c>
    </row>
    <row r="2" customFormat="false" ht="14.25" hidden="false" customHeight="false" outlineLevel="0" collapsed="false">
      <c r="D2" s="45" t="s">
        <v>40</v>
      </c>
      <c r="E2" s="46" t="n">
        <v>1234</v>
      </c>
      <c r="F2" s="47" t="n">
        <v>45576</v>
      </c>
      <c r="G2" s="48" t="n">
        <v>100</v>
      </c>
      <c r="H2" s="46" t="s">
        <v>41</v>
      </c>
      <c r="I2" s="46"/>
      <c r="J2" s="47" t="str">
        <f aca="false">IF(ISNUMBER(FIND("code01",D2)),"customer01",IF(ISNUMBER(FIND("code02",D2)),"customer02",IF(ISNUMBER(FIND("code03",D2)),"customer03",IF(ISNUMBER(FIND("code04",D2)),"customer04",IF(ISNUMBER(FIND("code05",D2)),"customer05",IF(ISNUMBER(FIND("code06",I2)),"customer06",IF(ISNUMBER(FIND("code07",H2)),"customer07","Others")))))))</f>
        <v>Others</v>
      </c>
      <c r="L2" s="45" t="n">
        <v>1234</v>
      </c>
      <c r="M2" s="46" t="n">
        <v>1234</v>
      </c>
      <c r="N2" s="47" t="n">
        <v>45576</v>
      </c>
      <c r="O2" s="48" t="n">
        <v>100</v>
      </c>
      <c r="P2" s="46" t="s">
        <v>41</v>
      </c>
      <c r="Q2" s="46"/>
      <c r="R2" s="47" t="str">
        <f aca="false">IF(ISNUMBER(FIND("code01",L2)),"customer01",IF(ISNUMBER(FIND("code02",L2)),"customer02",IF(ISNUMBER(FIND("code03",L2)),"customer03",IF(ISNUMBER(FIND("code04",L2)),"customer04",IF(ISNUMBER(FIND("code05",L2)),"customer05",IF(ISNUMBER(FIND("code06",Q2)),"customer06",IF(ISNUMBER(FIND("code07",P2)),"customer07","Others")))))))</f>
        <v>Others</v>
      </c>
    </row>
    <row r="3" customFormat="false" ht="14.25" hidden="false" customHeight="false" outlineLevel="0" collapsed="false">
      <c r="D3" s="45" t="n">
        <v>1234</v>
      </c>
      <c r="E3" s="46"/>
      <c r="F3" s="47"/>
      <c r="G3" s="48"/>
      <c r="H3" s="46" t="s">
        <v>42</v>
      </c>
      <c r="I3" s="46"/>
      <c r="J3" s="47"/>
      <c r="L3" s="45"/>
      <c r="M3" s="46"/>
      <c r="N3" s="47"/>
      <c r="O3" s="48"/>
      <c r="P3" s="46"/>
      <c r="Q3" s="46"/>
      <c r="R3" s="47"/>
    </row>
    <row r="4" customFormat="false" ht="14.25" hidden="false" customHeight="false" outlineLevel="0" collapsed="false">
      <c r="D4" s="45"/>
      <c r="E4" s="46"/>
      <c r="F4" s="47"/>
      <c r="G4" s="48"/>
      <c r="H4" s="46"/>
      <c r="I4" s="46"/>
      <c r="J4" s="47"/>
      <c r="L4" s="45"/>
      <c r="M4" s="46"/>
      <c r="N4" s="47"/>
      <c r="O4" s="48"/>
      <c r="P4" s="46"/>
      <c r="Q4" s="46"/>
      <c r="R4" s="47"/>
    </row>
    <row r="5" customFormat="false" ht="14.25" hidden="false" customHeight="false" outlineLevel="0" collapsed="false">
      <c r="D5" s="45"/>
      <c r="E5" s="46"/>
      <c r="F5" s="47"/>
      <c r="G5" s="48"/>
      <c r="H5" s="46"/>
      <c r="I5" s="46"/>
      <c r="J5" s="47"/>
      <c r="L5" s="45"/>
      <c r="M5" s="46"/>
      <c r="N5" s="47"/>
      <c r="O5" s="48"/>
      <c r="P5" s="46"/>
      <c r="Q5" s="46"/>
      <c r="R5" s="47"/>
    </row>
  </sheetData>
  <conditionalFormatting sqref="D2:D5 L2:L5">
    <cfRule type="expression" priority="2" aboveAverage="0" equalAverage="0" bottom="0" percent="0" rank="0" text="" dxfId="6">
      <formula>OR(ISNUMBER(SEARCH("C300018", D2)), ISNUMBER(SEARCH("C300018", H2)))</formula>
    </cfRule>
    <cfRule type="expression" priority="3" aboveAverage="0" equalAverage="0" bottom="0" percent="0" rank="0" text="" dxfId="7">
      <formula>OR(ISNUMBER(SEARCH("C300016", D2)), ISNUMBER(SEARCH("C300016", H2)))</formula>
    </cfRule>
    <cfRule type="expression" priority="4" aboveAverage="0" equalAverage="0" bottom="0" percent="0" rank="0" text="" dxfId="8">
      <formula>OR(ISNUMBER(SEARCH("C300020", D2)), ISNUMBER(SEARCH("C300020", H2)))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1:E28"/>
  <sheetViews>
    <sheetView showFormulas="false" showGridLines="true" showRowColHeaders="true" showZeros="true" rightToLeft="false" tabSelected="false" showOutlineSymbols="true" defaultGridColor="true" view="normal" topLeftCell="A1" colorId="64" zoomScale="95" zoomScaleNormal="95" zoomScalePageLayoutView="100" workbookViewId="0">
      <selection pane="topLeft" activeCell="C14" activeCellId="0" sqref="C14"/>
    </sheetView>
  </sheetViews>
  <sheetFormatPr defaultColWidth="8.73046875" defaultRowHeight="14.25" customHeight="true" zeroHeight="true" outlineLevelRow="0" outlineLevelCol="0"/>
  <cols>
    <col collapsed="false" customWidth="true" hidden="false" outlineLevel="0" max="1" min="1" style="49" width="1.91"/>
    <col collapsed="false" customWidth="false" hidden="false" outlineLevel="0" max="15" min="2" style="49" width="8.73"/>
    <col collapsed="false" customWidth="true" hidden="true" outlineLevel="0" max="18" min="16" style="49" width="11.53"/>
    <col collapsed="false" customWidth="false" hidden="true" outlineLevel="0" max="16384" min="19" style="0" width="8.73"/>
  </cols>
  <sheetData>
    <row r="1" customFormat="false" ht="14.25" hidden="false" customHeight="false" outlineLevel="0" collapsed="false">
      <c r="D1" s="50"/>
    </row>
    <row r="2" customFormat="false" ht="14.25" hidden="false" customHeight="false" outlineLevel="0" collapsed="false">
      <c r="D2" s="50"/>
      <c r="E2" s="50"/>
    </row>
    <row r="3" customFormat="false" ht="14.25" hidden="false" customHeight="false" outlineLevel="0" collapsed="false"/>
    <row r="4" customFormat="false" ht="14.25" hidden="false" customHeight="false" outlineLevel="0" collapsed="false">
      <c r="B4" s="50" t="s">
        <v>43</v>
      </c>
      <c r="D4" s="50"/>
      <c r="E4" s="50"/>
    </row>
    <row r="5" customFormat="false" ht="14.25" hidden="false" customHeight="false" outlineLevel="0" collapsed="false">
      <c r="B5" s="50"/>
    </row>
    <row r="6" customFormat="false" ht="14.25" hidden="false" customHeight="false" outlineLevel="0" collapsed="false"/>
    <row r="7" customFormat="false" ht="14.25" hidden="false" customHeight="false" outlineLevel="0" collapsed="false"/>
    <row r="8" customFormat="false" ht="14.25" hidden="false" customHeight="false" outlineLevel="0" collapsed="false"/>
    <row r="9" customFormat="false" ht="14.25" hidden="false" customHeight="false" outlineLevel="0" collapsed="false"/>
    <row r="10" customFormat="false" ht="14.25" hidden="false" customHeight="false" outlineLevel="0" collapsed="false"/>
    <row r="11" customFormat="false" ht="14.25" hidden="false" customHeight="false" outlineLevel="0" collapsed="false"/>
    <row r="12" customFormat="false" ht="14.25" hidden="false" customHeight="false" outlineLevel="0" collapsed="false"/>
    <row r="13" customFormat="false" ht="14.25" hidden="false" customHeight="false" outlineLevel="0" collapsed="false"/>
    <row r="14" customFormat="false" ht="14.25" hidden="false" customHeight="false" outlineLevel="0" collapsed="false"/>
    <row r="15" customFormat="false" ht="14.25" hidden="false" customHeight="false" outlineLevel="0" collapsed="false"/>
    <row r="16" customFormat="false" ht="14.25" hidden="false" customHeight="false" outlineLevel="0" collapsed="false"/>
    <row r="17" customFormat="false" ht="14.25" hidden="false" customHeight="false" outlineLevel="0" collapsed="false"/>
    <row r="18" customFormat="false" ht="14.25" hidden="false" customHeight="false" outlineLevel="0" collapsed="false"/>
    <row r="19" customFormat="false" ht="14.25" hidden="false" customHeight="false" outlineLevel="0" collapsed="false"/>
    <row r="20" customFormat="false" ht="14.25" hidden="false" customHeight="false" outlineLevel="0" collapsed="false"/>
    <row r="21" customFormat="false" ht="14.25" hidden="false" customHeight="false" outlineLevel="0" collapsed="false"/>
    <row r="22" customFormat="false" ht="14.25" hidden="false" customHeight="false" outlineLevel="0" collapsed="false"/>
    <row r="23" customFormat="false" ht="14.25" hidden="false" customHeight="false" outlineLevel="0" collapsed="false"/>
    <row r="24" customFormat="false" ht="14.25" hidden="false" customHeight="false" outlineLevel="0" collapsed="false"/>
    <row r="25" customFormat="false" ht="14.25" hidden="false" customHeight="false" outlineLevel="0" collapsed="false"/>
    <row r="26" customFormat="false" ht="14.25" hidden="false" customHeight="false" outlineLevel="0" collapsed="false"/>
    <row r="27" customFormat="false" ht="14.25" hidden="false" customHeight="false" outlineLevel="0" collapsed="false"/>
    <row r="28" customFormat="false" ht="14.25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customXml/_rels/item1.xml.rels><?xml version="1.0" encoding="UTF-8"?>
<Relationships xmlns="http://schemas.openxmlformats.org/package/2006/relationships"><Relationship Id="rId1" Type="http://schemas.openxmlformats.org/officeDocument/2006/relationships/customXmlProps" Target="itemProps1.xml"/>
</Relationships>
</file>

<file path=customXml/_rels/item2.xml.rels><?xml version="1.0" encoding="UTF-8"?>
<Relationships xmlns="http://schemas.openxmlformats.org/package/2006/relationships"><Relationship Id="rId1" Type="http://schemas.openxmlformats.org/officeDocument/2006/relationships/customXmlProps" Target="itemProps2.xml"/>
</Relationships>
</file>

<file path=customXml/_rels/item3.xml.rels><?xml version="1.0" encoding="UTF-8"?>
<Relationships xmlns="http://schemas.openxmlformats.org/package/2006/relationships"><Relationship Id="rId1" Type="http://schemas.openxmlformats.org/officeDocument/2006/relationships/customXmlProps" Target="itemProps3.xml"/>
</Relationships>
</file>

<file path=customXml/_rels/item4.xml.rels><?xml version="1.0" encoding="UTF-8"?>
<Relationships xmlns="http://schemas.openxmlformats.org/package/2006/relationships"><Relationship Id="rId1" Type="http://schemas.openxmlformats.org/officeDocument/2006/relationships/customXmlProps" Target="itemProps4.xml"/>
</Relationships>
</file>

<file path=customXml/item1.xml><?xml version="1.0" encoding="utf-8"?>
<Application xmlns="http://www.sap.com/cof/excel/application">
  <Version>2</Version>
  <Revision>2.7.601.90251</Revision>
</Application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8C80BE00CCA4A46873179AB39A78BD0" ma:contentTypeVersion="8" ma:contentTypeDescription="Create a new document." ma:contentTypeScope="" ma:versionID="0f1dbf26c338cecb54d436fb27eb3fc4">
  <xsd:schema xmlns:xsd="http://www.w3.org/2001/XMLSchema" xmlns:xs="http://www.w3.org/2001/XMLSchema" xmlns:p="http://schemas.microsoft.com/office/2006/metadata/properties" xmlns:ns2="d867d7b6-7575-4db0-8f57-7f4dbfa9c74a" targetNamespace="http://schemas.microsoft.com/office/2006/metadata/properties" ma:root="true" ma:fieldsID="d316e9ac103c8a61046a34835b91cac9" ns2:_="">
    <xsd:import namespace="d867d7b6-7575-4db0-8f57-7f4dbfa9c74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867d7b6-7575-4db0-8f57-7f4dbfa9c74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AD86EE5-E1E8-444D-B422-DFB614070E2A}">
  <ds:schemaRefs>
    <ds:schemaRef ds:uri="http://www.sap.com/cof/excel/application"/>
  </ds:schemaRefs>
</ds:datastoreItem>
</file>

<file path=customXml/itemProps2.xml><?xml version="1.0" encoding="utf-8"?>
<ds:datastoreItem xmlns:ds="http://schemas.openxmlformats.org/officeDocument/2006/customXml" ds:itemID="{BF00D63E-ED3D-4C3B-9DF6-86A02FF2726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D5C7959-76BF-447A-8598-68CE07FDD4E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867d7b6-7575-4db0-8f57-7f4dbfa9c7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13623C54-09FD-4F22-9C6B-1F180196FDBA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LibreOffice/25.2.5.2$Windows_X86_64 LibreOffice_project/03d19516eb2e1dd5d4ccd751a0d6f35f35e08022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2023-10-10T15:52:33Z</dcterms:created>
  <dc:creator>Dudek, Anna</dc:creator>
  <dc:description/>
  <dc:language>pl-PL</dc:language>
  <cp:lastModifiedBy/>
  <dcterms:modified xsi:type="dcterms:W3CDTF">2025-09-23T01:53:38Z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0x010100A8C80BE00CCA4A46873179AB39A78BD0</vt:lpwstr>
  </property>
  <property fmtid="{D5CDD505-2E9C-101B-9397-08002B2CF9AE}" pid="3" name="CustomUiType">
    <vt:lpwstr>8</vt:lpwstr>
  </property>
  <property fmtid="{D5CDD505-2E9C-101B-9397-08002B2CF9AE}" pid="4" name="MediaServiceImageTags">
    <vt:lpwstr/>
  </property>
</Properties>
</file>